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port" sheetId="1" state="visible" r:id="rId3"/>
    <sheet name="Simple_Calc" sheetId="2" state="visible" r:id="rId4"/>
    <sheet name="Calculator" sheetId="3" state="visible" r:id="rId5"/>
    <sheet name="Inference" sheetId="4" state="visible" r:id="rId6"/>
    <sheet name="Comparison" sheetId="5" state="visible" r:id="rId7"/>
    <sheet name="GPU_Price_List" sheetId="6" state="visible" r:id="rId8"/>
    <sheet name="Sizing_Guide" sheetId="7" state="visible" r:id="rId9"/>
    <sheet name="Rates" sheetId="8" state="visible" r:id="rId10"/>
    <sheet name="Read_Me" sheetId="9" state="visible" r:id="rId11"/>
    <sheet name="Sources" sheetId="10" state="visible" r:id="rId12"/>
  </sheets>
  <definedNames>
    <definedName function="false" hidden="false" localSheetId="0" name="_xlnm.Print_Area" vbProcedure="false">Report!$A$1:$D$53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<sst xmlns="http://schemas.openxmlformats.org/spreadsheetml/2006/main" count="1115" uniqueCount="770">
  <si>
    <t xml:space="preserve">LLM HOSTING COST ESTIMATE  -  EXECUTIVE SUMMARY</t>
  </si>
  <si>
    <t xml:space="preserve">1.  WHAT WAS ASKED FOR</t>
  </si>
  <si>
    <t xml:space="preserve">Model</t>
  </si>
  <si>
    <t xml:space="preserve">Size and quality setting</t>
  </si>
  <si>
    <t xml:space="preserve">Expected traffic</t>
  </si>
  <si>
    <t xml:space="preserve">Availability</t>
  </si>
  <si>
    <t xml:space="preserve">Region and pricing basis</t>
  </si>
  <si>
    <t xml:space="preserve">2.  RECOMMENDATION</t>
  </si>
  <si>
    <t xml:space="preserve">Cloud</t>
  </si>
  <si>
    <t xml:space="preserve">Machine type</t>
  </si>
  <si>
    <t xml:space="preserve">GPU</t>
  </si>
  <si>
    <t xml:space="preserve">Machines required</t>
  </si>
  <si>
    <t xml:space="preserve">GPU memory the model needs</t>
  </si>
  <si>
    <t xml:space="preserve">Weights plus headroom for the conversation cache</t>
  </si>
  <si>
    <t xml:space="preserve">Basis for the choice</t>
  </si>
  <si>
    <t xml:space="preserve">3.  MONTHLY COST</t>
  </si>
  <si>
    <t xml:space="preserve">Share of total</t>
  </si>
  <si>
    <t xml:space="preserve">GPU compute</t>
  </si>
  <si>
    <t xml:space="preserve">Disk storage</t>
  </si>
  <si>
    <t xml:space="preserve">Data transfer out</t>
  </si>
  <si>
    <t xml:space="preserve">Managed platform</t>
  </si>
  <si>
    <t xml:space="preserve">Support and labour</t>
  </si>
  <si>
    <t xml:space="preserve">TOTAL PER MONTH</t>
  </si>
  <si>
    <t xml:space="preserve">TOTAL PER YEAR</t>
  </si>
  <si>
    <t xml:space="preserve">4.  GOOGLE CLOUD vs MICROSOFT AZURE</t>
  </si>
  <si>
    <t xml:space="preserve">Google Cloud, best option</t>
  </si>
  <si>
    <t xml:space="preserve">Microsoft Azure, best option</t>
  </si>
  <si>
    <t xml:space="preserve">Verdict</t>
  </si>
  <si>
    <t xml:space="preserve">5.  CAPACITY AND UNIT ECONOMICS</t>
  </si>
  <si>
    <t xml:space="preserve">Tokens per second, one machine</t>
  </si>
  <si>
    <t xml:space="preserve">Bandwidth model, accurate to roughly a factor of two</t>
  </si>
  <si>
    <t xml:space="preserve">Peak tokens per second needed</t>
  </si>
  <si>
    <t xml:space="preserve">Spare capacity at peak</t>
  </si>
  <si>
    <t xml:space="preserve">Speed one user would see</t>
  </si>
  <si>
    <t xml:space="preserve">Cost per million output tokens</t>
  </si>
  <si>
    <t xml:space="preserve">Compare directly against a pay-per-token API quote</t>
  </si>
  <si>
    <t xml:space="preserve">Cost per 1,000 requests</t>
  </si>
  <si>
    <t xml:space="preserve">Pay-per-token alternative</t>
  </si>
  <si>
    <t xml:space="preserve">Same traffic, no machines to run. See the Comparison tab for the cheapest on each cloud</t>
  </si>
  <si>
    <t xml:space="preserve">Cheaper route on these numbers</t>
  </si>
  <si>
    <t xml:space="preserve">Support level applied</t>
  </si>
  <si>
    <t xml:space="preserve">6.  WHAT COULD MOVE THIS NUMBER</t>
  </si>
  <si>
    <t xml:space="preserve">Planning estimate, not a quote. Figures are US-region list prices and a bandwidth-based throughput model; measure real throughput before committing capacity. Full workings and sources are in this workbook.</t>
  </si>
  <si>
    <t xml:space="preserve">Quick Estimate  -  three questions</t>
  </si>
  <si>
    <t xml:space="preserve">Answer the three questions below by clicking each yellow box and picking from the list. Your estimate appears underneath.</t>
  </si>
  <si>
    <t xml:space="preserve">No technical knowledge needed. Everything else is worked out for you on the Calculator tab.</t>
  </si>
  <si>
    <t xml:space="preserve">1.   How big is the AI model you want to run?</t>
  </si>
  <si>
    <t xml:space="preserve">Large  -  top-tier assistant, complex reasoning and long documents</t>
  </si>
  <si>
    <t xml:space="preserve">If you are not sure, pick Large - it is the most common choice for a serious assistant.</t>
  </si>
  <si>
    <t xml:space="preserve">2.   How much use will it get?</t>
  </si>
  <si>
    <t xml:space="preserve">A whole department, running around the clock</t>
  </si>
  <si>
    <t xml:space="preserve">This sets how many hours a month you pay for - usually the biggest lever on the bill.</t>
  </si>
  <si>
    <t xml:space="preserve">3.   What matters most to you?</t>
  </si>
  <si>
    <t xml:space="preserve">A balance of cost and reliability</t>
  </si>
  <si>
    <t xml:space="preserve">Lowest cost accepts machines that can be interrupted. Reliability commits to a year and adds a managed platform.</t>
  </si>
  <si>
    <t xml:space="preserve">WHAT THIS MEANS  -  these values are sent to the Calculator tab</t>
  </si>
  <si>
    <t xml:space="preserve">Setting on the Calculator tab</t>
  </si>
  <si>
    <t xml:space="preserve">Comes from</t>
  </si>
  <si>
    <t xml:space="preserve">Value sent</t>
  </si>
  <si>
    <t xml:space="preserve">Model size (billions of parameters)</t>
  </si>
  <si>
    <t xml:space="preserve">Question 1</t>
  </si>
  <si>
    <t xml:space="preserve">Disk storage per copy (GB)</t>
  </si>
  <si>
    <t xml:space="preserve">Hours running per day</t>
  </si>
  <si>
    <t xml:space="preserve">Question 2</t>
  </si>
  <si>
    <t xml:space="preserve">Days running per month</t>
  </si>
  <si>
    <t xml:space="preserve">Minimum copies of the model</t>
  </si>
  <si>
    <t xml:space="preserve">Data sent out to users (GB per month)</t>
  </si>
  <si>
    <t xml:space="preserve">Precision / quantization</t>
  </si>
  <si>
    <t xml:space="preserve">Question 3</t>
  </si>
  <si>
    <t xml:space="preserve">Pricing model</t>
  </si>
  <si>
    <t xml:space="preserve">Managed AI platform</t>
  </si>
  <si>
    <t xml:space="preserve">Support level, cloud choice, region and disk type are not asked here. Support is recommended automatically from the model size, the cloud is set to compare both, and the rest keep sensible defaults. Change any of them on the Calculator tab.</t>
  </si>
  <si>
    <t xml:space="preserve">YOUR ESTIMATE</t>
  </si>
  <si>
    <t xml:space="preserve">GPU memory your model needs (GB)</t>
  </si>
  <si>
    <t xml:space="preserve">Cheapest machine that fits</t>
  </si>
  <si>
    <t xml:space="preserve">On which cloud</t>
  </si>
  <si>
    <t xml:space="preserve">Hours you pay for each month</t>
  </si>
  <si>
    <t xml:space="preserve">Machines being paid for</t>
  </si>
  <si>
    <t xml:space="preserve">Machines and storage</t>
  </si>
  <si>
    <t xml:space="preserve">People to support it</t>
  </si>
  <si>
    <t xml:space="preserve">In plain words</t>
  </si>
  <si>
    <t xml:space="preserve">Before you use this number:</t>
  </si>
  <si>
    <t xml:space="preserve">   -  It is a planning estimate from published US list prices, not a quote.</t>
  </si>
  <si>
    <t xml:space="preserve">   -  Turning the machines off when nobody is using them is the single biggest saving available - that is question 2.</t>
  </si>
  <si>
    <t xml:space="preserve">   -  The Comparison tab shows Google Cloud and Azure side by side for the same answers.</t>
  </si>
  <si>
    <t xml:space="preserve">   -  If three questions are not enough, switch the Calculator tab to Expert mode and edit any value directly.</t>
  </si>
  <si>
    <t xml:space="preserve">OR DON'T RUN IT YOURSELF  -  pay per token instead</t>
  </si>
  <si>
    <t xml:space="preserve">Cheapest hosted model for this traffic</t>
  </si>
  <si>
    <t xml:space="preserve">Chosen across both clouds on price alone. Pick a specific model on the Calculator tab, step 7.</t>
  </si>
  <si>
    <t xml:space="preserve">Runs on</t>
  </si>
  <si>
    <t xml:space="preserve">Token charges per month</t>
  </si>
  <si>
    <t xml:space="preserve">People to run it</t>
  </si>
  <si>
    <t xml:space="preserve">Which should we do?</t>
  </si>
  <si>
    <t xml:space="preserve">LLM Hosting Cost Calculator   -   Google Cloud vs Microsoft Azure</t>
  </si>
  <si>
    <t xml:space="preserve">Every yellow box on this tab is editable and takes effect immediately. Rows marked &gt;&gt; start out blank and borrow their value from the Simple_Calc tab until you type over them. Your estimate builds itself in step 6.</t>
  </si>
  <si>
    <t xml:space="preserve">Nothing here connects to a live account - it is a planning estimate using published US list prices from August 2026.</t>
  </si>
  <si>
    <t xml:space="preserve">Rows marked &gt;&gt;</t>
  </si>
  <si>
    <t xml:space="preserve">leave blank = use Simple_Calc</t>
  </si>
  <si>
    <t xml:space="preserve">Type anything into a yellow box and it takes over that row straight away. Clear the box to hand the row back to Simple_Calc. Every other row is yours as normal.</t>
  </si>
  <si>
    <t xml:space="preserve">Value in use</t>
  </si>
  <si>
    <t xml:space="preserve">Coming from</t>
  </si>
  <si>
    <t xml:space="preserve">STEP 1   -   YOUR MODEL</t>
  </si>
  <si>
    <t xml:space="preserve">&gt;&gt;  Model size (billions of parameters)</t>
  </si>
  <si>
    <t xml:space="preserve">e.g. 8 for an 8B model, 70 for a 70B model, 671 for DeepSeek-size</t>
  </si>
  <si>
    <t xml:space="preserve">&gt;&gt;  Precision / quantization</t>
  </si>
  <si>
    <t xml:space="preserve">INT4 needs a quarter of the memory of FP16.</t>
  </si>
  <si>
    <t xml:space="preserve">Extra memory headroom (%)</t>
  </si>
  <si>
    <t xml:space="preserve">Covers the conversation cache and working memory. 30% is a safe default.</t>
  </si>
  <si>
    <t xml:space="preserve">&gt;&gt;  How many copies of the model to run</t>
  </si>
  <si>
    <t xml:space="preserve">Raised automatically if the Inference tab says the traffic needs more machines.</t>
  </si>
  <si>
    <t xml:space="preserve">GPU memory needed for ONE copy (GB)</t>
  </si>
  <si>
    <t xml:space="preserve">Calculated for you - this decides which machines are big enough.</t>
  </si>
  <si>
    <t xml:space="preserve">STEP 2   -   WHERE TO RUN IT</t>
  </si>
  <si>
    <t xml:space="preserve">Cloud provider</t>
  </si>
  <si>
    <t xml:space="preserve">Compare both</t>
  </si>
  <si>
    <t xml:space="preserve">Choose one, or 'Compare both' to let the sheet pick the cheaper.</t>
  </si>
  <si>
    <t xml:space="preserve">Region</t>
  </si>
  <si>
    <t xml:space="preserve">US (baseline)</t>
  </si>
  <si>
    <t xml:space="preserve">US is cheapest. Other regions add a rough uplift - see the Rates tab.</t>
  </si>
  <si>
    <t xml:space="preserve">Which machine?</t>
  </si>
  <si>
    <t xml:space="preserve">Auto - cheapest that fits</t>
  </si>
  <si>
    <t xml:space="preserve">Leave on Auto and the sheet finds the cheapest one that fits.</t>
  </si>
  <si>
    <t xml:space="preserve">&gt;&gt;  Pricing model</t>
  </si>
  <si>
    <t xml:space="preserve">Spot is cheapest but can be interrupted. Commitment needs a 1-year contract.</t>
  </si>
  <si>
    <t xml:space="preserve">&gt;&gt;  Hours running per day</t>
  </si>
  <si>
    <t xml:space="preserve">24 means always on. 8 means office hours only.</t>
  </si>
  <si>
    <t xml:space="preserve">&gt;&gt;  Days running per month</t>
  </si>
  <si>
    <t xml:space="preserve">30.42 is the average month. Use 22 for weekdays only.</t>
  </si>
  <si>
    <t xml:space="preserve">STEP 3   -   STORAGE AND DATA</t>
  </si>
  <si>
    <t xml:space="preserve">&gt;&gt;  Disk storage per copy (GB)</t>
  </si>
  <si>
    <t xml:space="preserve">Room for the model files, logs and scratch space.</t>
  </si>
  <si>
    <t xml:space="preserve">Disk type</t>
  </si>
  <si>
    <t xml:space="preserve">Balanced SSD (recommended)</t>
  </si>
  <si>
    <t xml:space="preserve">Balanced SSD suits almost everyone.</t>
  </si>
  <si>
    <t xml:space="preserve">&gt;&gt;  Data sent out to users (GB per month)</t>
  </si>
  <si>
    <t xml:space="preserve">Only data leaving the cloud is charged. Text answers are small; audio and video are not.</t>
  </si>
  <si>
    <t xml:space="preserve">STEP 4   -   MANAGED PLATFORM</t>
  </si>
  <si>
    <t xml:space="preserve">&gt;&gt;  Use a managed AI platform?</t>
  </si>
  <si>
    <t xml:space="preserve">Vertex AI or Azure ML do the plumbing for you and add about 25% to compute.</t>
  </si>
  <si>
    <t xml:space="preserve">STEP 5   -   SUPPORT AND LABOUR   (the people who keep it running)</t>
  </si>
  <si>
    <t xml:space="preserve">Recommended support level</t>
  </si>
  <si>
    <t xml:space="preserve">Based on your model size. Low up to 13B, Medium up to 70B, High above that.</t>
  </si>
  <si>
    <t xml:space="preserve">Support level to use</t>
  </si>
  <si>
    <t xml:space="preserve">Use the recommendation</t>
  </si>
  <si>
    <t xml:space="preserve">Keep the recommendation, or override it with Low, Medium or High.</t>
  </si>
  <si>
    <t xml:space="preserve">Engineer hours per month</t>
  </si>
  <si>
    <t xml:space="preserve">Comes from the table on the Rates tab: Low 20, Medium 60, High 160 hours.</t>
  </si>
  <si>
    <t xml:space="preserve">Override the hours (optional)</t>
  </si>
  <si>
    <t xml:space="preserve">Leave this blank to use the table above. Type a number to use your own.</t>
  </si>
  <si>
    <t xml:space="preserve">Engineer cost per hour ($)</t>
  </si>
  <si>
    <t xml:space="preserve">Your blended support rate.</t>
  </si>
  <si>
    <t xml:space="preserve">STEP 6   -   YOUR ESTIMATE</t>
  </si>
  <si>
    <t xml:space="preserve">Recommended machine</t>
  </si>
  <si>
    <t xml:space="preserve">GPUs per machine</t>
  </si>
  <si>
    <t xml:space="preserve">Total GPU memory per machine (GB)</t>
  </si>
  <si>
    <t xml:space="preserve">vCPU per machine</t>
  </si>
  <si>
    <t xml:space="preserve">System RAM per machine (GB)</t>
  </si>
  <si>
    <t xml:space="preserve">US list price ($/hour)</t>
  </si>
  <si>
    <t xml:space="preserve">Your rate after region and pricing model ($/hour)</t>
  </si>
  <si>
    <t xml:space="preserve">Hours billed per month</t>
  </si>
  <si>
    <t xml:space="preserve">MONTHLY COST BREAKDOWN</t>
  </si>
  <si>
    <t xml:space="preserve">Compute  -  GPU machines</t>
  </si>
  <si>
    <t xml:space="preserve">hourly rate x hours x number of copies</t>
  </si>
  <si>
    <t xml:space="preserve">GB per copy x copies x price per GB</t>
  </si>
  <si>
    <t xml:space="preserve">Data transfer out (egress)</t>
  </si>
  <si>
    <t xml:space="preserve">Charged only on data leaving the cloud; each cloud has a free allowance</t>
  </si>
  <si>
    <t xml:space="preserve">Managed platform uplift</t>
  </si>
  <si>
    <t xml:space="preserve">Zero unless you chose a managed platform in step 4</t>
  </si>
  <si>
    <t xml:space="preserve">TOTAL ESTIMATED COST PER MONTH</t>
  </si>
  <si>
    <t xml:space="preserve">Same estimate per year</t>
  </si>
  <si>
    <t xml:space="preserve">Cost per hour of service</t>
  </si>
  <si>
    <t xml:space="preserve">Speed check</t>
  </si>
  <si>
    <t xml:space="preserve">Status</t>
  </si>
  <si>
    <t xml:space="preserve">STEP 7   -   OR DON'T HOST IT AT ALL:  pay per token for a hosted model</t>
  </si>
  <si>
    <t xml:space="preserve">Uses the traffic you set on the Inference tab. Nothing here changes steps 1 to 6.</t>
  </si>
  <si>
    <t xml:space="preserve">Which hosted model?</t>
  </si>
  <si>
    <t xml:space="preserve">Gemini 3.5 Flash-Lite</t>
  </si>
  <si>
    <t xml:space="preserve">Gemini, GPT and Claude models running on Google Cloud or Azure.</t>
  </si>
  <si>
    <t xml:space="preserve">Model built by</t>
  </si>
  <si>
    <t xml:space="preserve">Price per 1M input tokens</t>
  </si>
  <si>
    <t xml:space="preserve">Price per 1M output tokens</t>
  </si>
  <si>
    <t xml:space="preserve">Input tokens per month</t>
  </si>
  <si>
    <t xml:space="preserve">Output tokens per month</t>
  </si>
  <si>
    <t xml:space="preserve">Engineer hours per month to run it</t>
  </si>
  <si>
    <t xml:space="preserve">Far less than self-hosting - no machines to keep alive. 20 is a fair default.</t>
  </si>
  <si>
    <t xml:space="preserve">TOTAL PER MONTH  -  pay per token</t>
  </si>
  <si>
    <t xml:space="preserve">Same per year</t>
  </si>
  <si>
    <t xml:space="preserve">Self-hosting total from step 6</t>
  </si>
  <si>
    <t xml:space="preserve">Difference</t>
  </si>
  <si>
    <t xml:space="preserve">Which way is cheaper?</t>
  </si>
  <si>
    <t xml:space="preserve">What is NOT in this estimate:</t>
  </si>
  <si>
    <t xml:space="preserve">   -  Load balancers, monitoring tools, logging, backups, snapshots and paid cloud support plans.</t>
  </si>
  <si>
    <t xml:space="preserve">   -  Traffic between zones inside a region (about $0.01/GB each way on Google Cloud; free on Azure).</t>
  </si>
  <si>
    <t xml:space="preserve">   -  Idle time. A GPU machine costs the same whether it is busy or doing nothing - this is the biggest source of waste.</t>
  </si>
  <si>
    <t xml:space="preserve">   -  Windows licences, third-party model licences, and the one-off project work to get set up in the first place.</t>
  </si>
  <si>
    <t xml:space="preserve">   -  Taxes, and any enterprise discount your organisation has negotiated.</t>
  </si>
  <si>
    <t xml:space="preserve">CALCULATION ENGINE  -  no need to read or change anything below this line</t>
  </si>
  <si>
    <t xml:space="preserve">Chosen row on the price list</t>
  </si>
  <si>
    <t xml:space="preserve">Is a valid machine selected? (1 = yes)</t>
  </si>
  <si>
    <t xml:space="preserve">Cheapest eligible rate, either cloud</t>
  </si>
  <si>
    <t xml:space="preserve">Region uplift for the chosen cloud</t>
  </si>
  <si>
    <t xml:space="preserve">Storage price per GB for the chosen cloud</t>
  </si>
  <si>
    <t xml:space="preserve">Egress cost if Google Cloud</t>
  </si>
  <si>
    <t xml:space="preserve">Egress cost if Microsoft Azure</t>
  </si>
  <si>
    <t xml:space="preserve">Support level in use</t>
  </si>
  <si>
    <t xml:space="preserve">Model weights size, no headroom (GB)</t>
  </si>
  <si>
    <t xml:space="preserve">Machines the load needs (throughput)</t>
  </si>
  <si>
    <t xml:space="preserve">Inference sizing  -  how much traffic can it actually serve?</t>
  </si>
  <si>
    <t xml:space="preserve">The other tabs ask whether a model FITS on a machine. This one asks whether the machine is FAST ENOUGH, and works out how many machines your traffic needs.</t>
  </si>
  <si>
    <t xml:space="preserve">Fill in the yellow boxes. Turn the first one off and the rest of the workbook behaves exactly as before.</t>
  </si>
  <si>
    <t xml:space="preserve">1.   YOUR TRAFFIC</t>
  </si>
  <si>
    <t xml:space="preserve">Size the machines for this traffic?</t>
  </si>
  <si>
    <t xml:space="preserve">Yes - size the machines for this traffic</t>
  </si>
  <si>
    <t xml:space="preserve">Turn this off to go back to memory-only sizing.</t>
  </si>
  <si>
    <t xml:space="preserve">Requests per month</t>
  </si>
  <si>
    <t xml:space="preserve">A question, a summary, a completion - one round trip.</t>
  </si>
  <si>
    <t xml:space="preserve">Input tokens per request (the prompt)</t>
  </si>
  <si>
    <t xml:space="preserve">Roughly 600 words. Add a lot if you paste in documents.</t>
  </si>
  <si>
    <t xml:space="preserve">Output tokens per request (the answer)</t>
  </si>
  <si>
    <t xml:space="preserve">Roughly 300 words. This is the expensive half.</t>
  </si>
  <si>
    <t xml:space="preserve">Peak-to-average factor</t>
  </si>
  <si>
    <t xml:space="preserve">Traffic is never flat. 3 means the busiest hour is 3x the average.</t>
  </si>
  <si>
    <t xml:space="preserve">2.   WHAT THAT DEMANDS</t>
  </si>
  <si>
    <t xml:space="preserve">Work per request in output-token equivalents</t>
  </si>
  <si>
    <t xml:space="preserve">Prompt tokens are cheaper to process, so they count for less</t>
  </si>
  <si>
    <t xml:space="preserve">Average tokens per second needed</t>
  </si>
  <si>
    <t xml:space="preserve">Spread evenly over the hours you chose on the Calculator</t>
  </si>
  <si>
    <t xml:space="preserve">PEAK tokens per second needed</t>
  </si>
  <si>
    <t xml:space="preserve">This is the number the machines are sized against</t>
  </si>
  <si>
    <t xml:space="preserve">3.   WHAT THE CHOSEN MACHINE DELIVERS</t>
  </si>
  <si>
    <t xml:space="preserve">Machine the Calculator picked</t>
  </si>
  <si>
    <t xml:space="preserve">GPUs x memory bandwidth (GB/s)</t>
  </si>
  <si>
    <t xml:space="preserve">Generating a token means reading the whole model out of memory once</t>
  </si>
  <si>
    <t xml:space="preserve">Model weights to read per token (GB)</t>
  </si>
  <si>
    <t xml:space="preserve">Output tokens per second, one machine</t>
  </si>
  <si>
    <t xml:space="preserve">With batching and utilisation from the Rates tab, section J</t>
  </si>
  <si>
    <t xml:space="preserve">Machines the peak load needs</t>
  </si>
  <si>
    <t xml:space="preserve">Machines the estimate is using</t>
  </si>
  <si>
    <t xml:space="preserve">The greater of your copies and the machines the traffic needs</t>
  </si>
  <si>
    <t xml:space="preserve">Speed for a single user (tokens/sec)</t>
  </si>
  <si>
    <t xml:space="preserve">Around 20 or more feels like fast typing. Below 10 feels slow.</t>
  </si>
  <si>
    <t xml:space="preserve">Headroom at peak</t>
  </si>
  <si>
    <t xml:space="preserve">How much spare capacity is left when traffic peaks</t>
  </si>
  <si>
    <t xml:space="preserve">4.   UNIT ECONOMICS</t>
  </si>
  <si>
    <t xml:space="preserve">Total cost per month (from the Calculator)</t>
  </si>
  <si>
    <t xml:space="preserve">Million output tokens served per month</t>
  </si>
  <si>
    <t xml:space="preserve">Compare this directly with a pay-per-token API price</t>
  </si>
  <si>
    <t xml:space="preserve">Cost per request</t>
  </si>
  <si>
    <t xml:space="preserve">How the throughput number is worked out, and where it is weakest:</t>
  </si>
  <si>
    <t xml:space="preserve">   -  Generating one token requires reading every weight in the model out of GPU memory. So tokens per second is roughly GPU memory bandwidth divided by model size, multiplied by the batching gain and the utilisation figure on the Rates tab.</t>
  </si>
  <si>
    <t xml:space="preserve">   -  That is a bandwidth model, not a benchmark. Real throughput also depends on the serving software, sequence lengths, and how evenly requests arrive. Treat it as accurate to within a factor of about two, and measure before you commit.</t>
  </si>
  <si>
    <t xml:space="preserve">   -  The batching gain of 16 assumes a modern server such as vLLM or TensorRT-LLM with continuous batching. A naive one-request-at-a-time setup is closer to 1, which changes the answer enormously.</t>
  </si>
  <si>
    <t xml:space="preserve">   -  Long prompts and long context windows grow the conversation cache, which eats memory and slows decode. This model does not capture that - raise the headroom percentage on the Calculator if you serve long context.</t>
  </si>
  <si>
    <t xml:space="preserve">   -  Cost per million tokens counts output tokens only, which is the convention most API price lists use.</t>
  </si>
  <si>
    <t xml:space="preserve">   -  Machines are sized on the peak, so the spare capacity sits idle most of the month. That is what the headroom row shows.</t>
  </si>
  <si>
    <t xml:space="preserve">Side-by-side:  Google Cloud vs Microsoft Azure</t>
  </si>
  <si>
    <t xml:space="preserve">Both columns answer the same question: what is the cheapest machine on that cloud that is big enough for the model set up on the Calculator tab? Change the Calculator and this updates.</t>
  </si>
  <si>
    <t xml:space="preserve">What we are comparing</t>
  </si>
  <si>
    <t xml:space="preserve">Google Cloud</t>
  </si>
  <si>
    <t xml:space="preserve">Microsoft Azure</t>
  </si>
  <si>
    <t xml:space="preserve">Which is cheaper</t>
  </si>
  <si>
    <t xml:space="preserve">Total GPU memory (GB)</t>
  </si>
  <si>
    <t xml:space="preserve">Must be at least the memory the model needs</t>
  </si>
  <si>
    <t xml:space="preserve">vCPU</t>
  </si>
  <si>
    <t xml:space="preserve">System RAM (GB)</t>
  </si>
  <si>
    <t xml:space="preserve">Copies of the model</t>
  </si>
  <si>
    <t xml:space="preserve">MONTHLY COST</t>
  </si>
  <si>
    <t xml:space="preserve">Compute</t>
  </si>
  <si>
    <t xml:space="preserve">Azure Premium SSD v2 is cheaper per GB than Google's Balanced disk</t>
  </si>
  <si>
    <t xml:space="preserve">Azure includes 100 GB free per month; Google Cloud includes 1 GB</t>
  </si>
  <si>
    <t xml:space="preserve">Same either way - the people cost does not depend on which cloud you pick</t>
  </si>
  <si>
    <t xml:space="preserve">Cheaper option</t>
  </si>
  <si>
    <t xml:space="preserve">Reading this fairly:  a cheaper hourly rate is not the whole story. Azure sells single H100 and single A100 80GB machines, so small jobs need not rent an eight-GPU node. Google Cloud is usually cheaper per GPU-hour at the top end and its L4 machines are the best value for everyday inference. Availability, your existing contracts and which cloud your data already sits in often matter more than list price.</t>
  </si>
  <si>
    <t xml:space="preserve">PAY PER TOKEN INSTEAD  -  cheapest hosted model on each cloud</t>
  </si>
  <si>
    <t xml:space="preserve">Cheapest hosted model at your traffic</t>
  </si>
  <si>
    <t xml:space="preserve">Running an API integration needs far fewer engineer hours than running machines</t>
  </si>
  <si>
    <t xml:space="preserve">Self-hosting total per month</t>
  </si>
  <si>
    <t xml:space="preserve">Cheaper approach on this cloud</t>
  </si>
  <si>
    <t xml:space="preserve">Cheapest of all four options</t>
  </si>
  <si>
    <t xml:space="preserve">Why pay-per-token usually wins at low volume and loses at high volume:  a rented GPU costs the same whether it is busy or idle, so light traffic pays for mostly-idle hardware. A hosted model charges only for tokens used. Once traffic is heavy enough to keep your own machines busy, the per-token margin you are paying someone else starts to exceed the cost of the hardware. The crossover is usually further out than people expect - change the requests figure on the Inference tab to find yours.</t>
  </si>
  <si>
    <t xml:space="preserve">Engine - Google Cloud row</t>
  </si>
  <si>
    <t xml:space="preserve">Engine - Azure row</t>
  </si>
  <si>
    <t xml:space="preserve">Engine - GCP found? (1 = yes)</t>
  </si>
  <si>
    <t xml:space="preserve">Engine - Azure found? (1 = yes)</t>
  </si>
  <si>
    <t xml:space="preserve">Engine - GCP region uplift</t>
  </si>
  <si>
    <t xml:space="preserve">Engine - Azure region uplift</t>
  </si>
  <si>
    <t xml:space="preserve">GPU Machine Price List  -  Google Cloud and Microsoft Azure, cheapest GPU first</t>
  </si>
  <si>
    <t xml:space="preserve">Sorted lowest tier (NVIDIA T4) to highest tier (NVIDIA B200). US-region list prices, August 2026. Columns T onward are used by the Calculator - please leave them alone.</t>
  </si>
  <si>
    <t xml:space="preserve">CALCULATOR ENGINE  -  these six columns react to the Calculator tab. Do not edit.</t>
  </si>
  <si>
    <t xml:space="preserve">THROUGHPUT ENGINE  -  driven by the Inference tab. Do not edit.</t>
  </si>
  <si>
    <t xml:space="preserve">Tier</t>
  </si>
  <si>
    <t xml:space="preserve">Tier name</t>
  </si>
  <si>
    <t xml:space="preserve">GPU model</t>
  </si>
  <si>
    <t xml:space="preserve">GPU memory each (GB)</t>
  </si>
  <si>
    <t xml:space="preserve">Machine / VM size</t>
  </si>
  <si>
    <t xml:space="preserve">RAM (GB)</t>
  </si>
  <si>
    <t xml:space="preserve">On-demand $/hour</t>
  </si>
  <si>
    <t xml:space="preserve">Spot $/hour</t>
  </si>
  <si>
    <t xml:space="preserve">Spot rate source</t>
  </si>
  <si>
    <t xml:space="preserve">1-Year commit $/hour</t>
  </si>
  <si>
    <t xml:space="preserve">On-demand $/month</t>
  </si>
  <si>
    <t xml:space="preserve">Good for</t>
  </si>
  <si>
    <t xml:space="preserve">Price confidence</t>
  </si>
  <si>
    <t xml:space="preserve">Source</t>
  </si>
  <si>
    <t xml:space="preserve">Menu label</t>
  </si>
  <si>
    <t xml:space="preserve">Selected rate $/hour</t>
  </si>
  <si>
    <t xml:space="preserve">Cloud matches filter?</t>
  </si>
  <si>
    <t xml:space="preserve">Enough GPU memory?</t>
  </si>
  <si>
    <t xml:space="preserve">Rank - either cloud</t>
  </si>
  <si>
    <t xml:space="preserve">Rank - Google Cloud</t>
  </si>
  <si>
    <t xml:space="preserve">Rank - Azure</t>
  </si>
  <si>
    <t xml:space="preserve">GPU bandwidth each (GB/s)</t>
  </si>
  <si>
    <t xml:space="preserve">Total bandwidth (GB/s)</t>
  </si>
  <si>
    <t xml:space="preserve">Output tokens/sec per machine</t>
  </si>
  <si>
    <t xml:space="preserve">Machines needed for the load</t>
  </si>
  <si>
    <t xml:space="preserve">Cost to meet the load $/hour</t>
  </si>
  <si>
    <t xml:space="preserve">T4 16 GB - entry level</t>
  </si>
  <si>
    <t xml:space="preserve">NVIDIA T4</t>
  </si>
  <si>
    <t xml:space="preserve">Standard_NC4as_T4_v3</t>
  </si>
  <si>
    <t xml:space="preserve">Published spot rate</t>
  </si>
  <si>
    <t xml:space="preserve">Small models, demos, dev boxes</t>
  </si>
  <si>
    <t xml:space="preserve">Published list price</t>
  </si>
  <si>
    <t xml:space="preserve">Azure East US Linux pay-as-you-go (Vantage/CloudPrice)</t>
  </si>
  <si>
    <t xml:space="preserve">n1-standard-4 + 1x T4</t>
  </si>
  <si>
    <t xml:space="preserve">Estimated (cloud default factor)</t>
  </si>
  <si>
    <t xml:space="preserve">GCP: n1-standard-4 $0.1900/hr + T4 $0.35/GPU/hr, us-central1</t>
  </si>
  <si>
    <t xml:space="preserve">n1-standard-8 + 1x T4</t>
  </si>
  <si>
    <t xml:space="preserve">Small models with more CPU-side work</t>
  </si>
  <si>
    <t xml:space="preserve">GCP: n1-standard-8 $0.3800/hr + T4 $0.35/GPU/hr, us-central1</t>
  </si>
  <si>
    <t xml:space="preserve">Standard_NC8as_T4_v3</t>
  </si>
  <si>
    <t xml:space="preserve">n1-standard-8 + 2x T4</t>
  </si>
  <si>
    <t xml:space="preserve">Mid-size model split over 2 cheap GPUs</t>
  </si>
  <si>
    <t xml:space="preserve">GCP: n1-standard-8 $0.3800/hr + 2x T4 @ $0.35/GPU/hr, us-central1</t>
  </si>
  <si>
    <t xml:space="preserve">L4 / A10 24 GB - inference workhorse</t>
  </si>
  <si>
    <t xml:space="preserve">NVIDIA L4</t>
  </si>
  <si>
    <t xml:space="preserve">g2-standard-4</t>
  </si>
  <si>
    <t xml:space="preserve">Best value for everyday inference</t>
  </si>
  <si>
    <t xml:space="preserve">GCP accelerator-optimized pricing, us-central1</t>
  </si>
  <si>
    <t xml:space="preserve">g2-standard-8</t>
  </si>
  <si>
    <t xml:space="preserve">Everyday inference, more RAM</t>
  </si>
  <si>
    <t xml:space="preserve">g2-standard-24</t>
  </si>
  <si>
    <t xml:space="preserve">Two GPUs for larger models</t>
  </si>
  <si>
    <t xml:space="preserve">NVIDIA A10</t>
  </si>
  <si>
    <t xml:space="preserve">Standard_NV36ads_A10_v5</t>
  </si>
  <si>
    <t xml:space="preserve">Inference plus heavy CPU pre/post-processing</t>
  </si>
  <si>
    <t xml:space="preserve">Azure East US Linux pay-as-you-go (Vantage)</t>
  </si>
  <si>
    <t xml:space="preserve">g2-standard-48</t>
  </si>
  <si>
    <t xml:space="preserve">Four GPUs, high throughput serving</t>
  </si>
  <si>
    <t xml:space="preserve">g2-standard-96</t>
  </si>
  <si>
    <t xml:space="preserve">Eight GPUs, high throughput serving</t>
  </si>
  <si>
    <t xml:space="preserve">A100 40 GB - training and large inference</t>
  </si>
  <si>
    <t xml:space="preserve">NVIDIA A100 40GB</t>
  </si>
  <si>
    <t xml:space="preserve">a2-highgpu-1g</t>
  </si>
  <si>
    <t xml:space="preserve">Entry point for single-GPU A100 work</t>
  </si>
  <si>
    <t xml:space="preserve">a2-highgpu-2g</t>
  </si>
  <si>
    <t xml:space="preserve">Fine-tuning mid-size models</t>
  </si>
  <si>
    <t xml:space="preserve">a2-highgpu-4g</t>
  </si>
  <si>
    <t xml:space="preserve">Fine-tuning and multi-GPU serving</t>
  </si>
  <si>
    <t xml:space="preserve">a2-highgpu-8g</t>
  </si>
  <si>
    <t xml:space="preserve">Lowest-cost 8x A100 node</t>
  </si>
  <si>
    <t xml:space="preserve">a2-megagpu-16g</t>
  </si>
  <si>
    <t xml:space="preserve">16 GPUs in one machine</t>
  </si>
  <si>
    <t xml:space="preserve">A100 80 GB - larger models per GPU</t>
  </si>
  <si>
    <t xml:space="preserve">NVIDIA A100 80GB</t>
  </si>
  <si>
    <t xml:space="preserve">Standard_NC24ads_A100_v4</t>
  </si>
  <si>
    <t xml:space="preserve">Cheapest single 80 GB GPU on Azure</t>
  </si>
  <si>
    <t xml:space="preserve">a2-ultragpu-1g</t>
  </si>
  <si>
    <t xml:space="preserve">Single 80 GB GPU on GCP</t>
  </si>
  <si>
    <t xml:space="preserve">Standard_NC48ads_A100_v4</t>
  </si>
  <si>
    <t xml:space="preserve">Two 80 GB GPUs</t>
  </si>
  <si>
    <t xml:space="preserve">Scaled from the 1-GPU rate</t>
  </si>
  <si>
    <t xml:space="preserve">Scaled 2x from NC24ads A100 v4 published rate - confirm in Azure calculator</t>
  </si>
  <si>
    <t xml:space="preserve">a2-ultragpu-2g</t>
  </si>
  <si>
    <t xml:space="preserve">Standard_NC96ads_A100_v4</t>
  </si>
  <si>
    <t xml:space="preserve">Four 80 GB GPUs</t>
  </si>
  <si>
    <t xml:space="preserve">Scaled 4x from NC24ads A100 v4 published rate - confirm in Azure calculator</t>
  </si>
  <si>
    <t xml:space="preserve">a2-ultragpu-4g</t>
  </si>
  <si>
    <t xml:space="preserve">a2-ultragpu-8g</t>
  </si>
  <si>
    <t xml:space="preserve">Eight 80 GB GPUs, 1,360 GB RAM</t>
  </si>
  <si>
    <t xml:space="preserve">H100 NVL 94 GB - single-GPU Hopper</t>
  </si>
  <si>
    <t xml:space="preserve">NVIDIA H100 NVL</t>
  </si>
  <si>
    <t xml:space="preserve">Standard_NC40ads_H100_v5</t>
  </si>
  <si>
    <t xml:space="preserve">Only way to rent ONE H100 on either cloud</t>
  </si>
  <si>
    <t xml:space="preserve">Azure East US / East US 2 / West US 2-3 published rate</t>
  </si>
  <si>
    <t xml:space="preserve">Standard_NC80adis_H100_v5</t>
  </si>
  <si>
    <t xml:space="preserve">Two H100 NVL GPUs</t>
  </si>
  <si>
    <t xml:space="preserve">Scaled 2x from NC40ads H100 v5 published rate - confirm in Azure calculator</t>
  </si>
  <si>
    <t xml:space="preserve">H100 SXM 80 GB - 8-GPU training node</t>
  </si>
  <si>
    <t xml:space="preserve">NVIDIA H100 80GB SXM</t>
  </si>
  <si>
    <t xml:space="preserve">a3-highgpu-8g</t>
  </si>
  <si>
    <t xml:space="preserve">Large-scale training / very high volume serving</t>
  </si>
  <si>
    <t xml:space="preserve">GCP accelerator-optimized pricing, us-central1 ($11.06 per GPU-hour)</t>
  </si>
  <si>
    <t xml:space="preserve">Standard_ND96isr_H100_v5</t>
  </si>
  <si>
    <t xml:space="preserve">Large-scale training with InfiniBand</t>
  </si>
  <si>
    <t xml:space="preserve">Azure East US Linux pay-as-you-go (Vantage) - $12.29 per GPU-hour</t>
  </si>
  <si>
    <t xml:space="preserve">H200 141 GB - biggest memory per Hopper GPU</t>
  </si>
  <si>
    <t xml:space="preserve">NVIDIA H200 141GB</t>
  </si>
  <si>
    <t xml:space="preserve">a3-ultragpu-8g</t>
  </si>
  <si>
    <t xml:space="preserve">Very large models, long context windows</t>
  </si>
  <si>
    <t xml:space="preserve">Published rate - reservation, Spot or Flex-start only</t>
  </si>
  <si>
    <t xml:space="preserve">GCP published rate ($10.60 per GPU-hour). A3 Ultra cannot be launched as a normal on-demand VM</t>
  </si>
  <si>
    <t xml:space="preserve">Standard_ND96isr_H200_v5</t>
  </si>
  <si>
    <t xml:space="preserve">No spot rate published for this size</t>
  </si>
  <si>
    <t xml:space="preserve">Azure baseline (Vantage) $110.24/hr; cheapest regions list ~$84.80/hr</t>
  </si>
  <si>
    <t xml:space="preserve">MI300X 192 GB - AMD alternative</t>
  </si>
  <si>
    <t xml:space="preserve">AMD Instinct MI300X</t>
  </si>
  <si>
    <t xml:space="preserve">Standard_ND96isr_MI300X_v5</t>
  </si>
  <si>
    <t xml:space="preserve">Big-memory inference; needs ROCm not CUDA</t>
  </si>
  <si>
    <t xml:space="preserve">Third-party index estimate</t>
  </si>
  <si>
    <t xml:space="preserve">Estimated from ~$7.86 per GPU-hour third-party index - confirm with Microsoft</t>
  </si>
  <si>
    <t xml:space="preserve">B200 180 GB - newest Blackwell</t>
  </si>
  <si>
    <t xml:space="preserve">NVIDIA B200 180GB</t>
  </si>
  <si>
    <t xml:space="preserve">a4-highgpu-8g</t>
  </si>
  <si>
    <t xml:space="preserve">A4 sells only as reservation, Spot or Flex-start</t>
  </si>
  <si>
    <t xml:space="preserve">Frontier-scale training, highest throughput</t>
  </si>
  <si>
    <t xml:space="preserve">Published rate - no standard on-demand</t>
  </si>
  <si>
    <t xml:space="preserve">About $4.95 per GPU-hour. Trackers range $34-40/hr for the node; A4 cannot be launched as a normal on-demand VM</t>
  </si>
  <si>
    <t xml:space="preserve">Notes:  (1) A 'Tier' is a group of machines built on the same class of GPU; tier 1 is the cheapest hardware, tier 9 the most powerful.</t>
  </si>
  <si>
    <t xml:space="preserve">(2) Some machines are sold only as a full 8-GPU node - you pay for all eight even if you use one. Those rows say '8' in 'GPUs per machine'.</t>
  </si>
  <si>
    <t xml:space="preserve">(3) Spot machines can be shut down by the cloud with about 30 seconds' notice. They are for work that can be interrupted and restarted.</t>
  </si>
  <si>
    <t xml:space="preserve">(4) Rows marked 'Scaled from the 1-GPU rate' or 'estimate' are not published prices. Confirm them in the provider's own calculator before you commit budget.</t>
  </si>
  <si>
    <t xml:space="preserve">(5) GPU quota starts at zero on both clouds. Getting approved to launch these machines can take days to weeks for the top tiers.</t>
  </si>
  <si>
    <t xml:space="preserve">How much GPU memory does a model need?</t>
  </si>
  <si>
    <t xml:space="preserve">A rough rule: memory = parameters x bytes per parameter, plus headroom for the conversation cache. This table uses the headroom percentage from the Calculator tab, so it moves when you change it.</t>
  </si>
  <si>
    <t xml:space="preserve">Example</t>
  </si>
  <si>
    <t xml:space="preserve">FP16 - GB needed</t>
  </si>
  <si>
    <t xml:space="preserve">FP8 / INT8 - GB needed</t>
  </si>
  <si>
    <t xml:space="preserve">INT4 - GB needed</t>
  </si>
  <si>
    <t xml:space="preserve">Smallest machine that fits at FP16</t>
  </si>
  <si>
    <t xml:space="preserve">Tiny on-device models</t>
  </si>
  <si>
    <t xml:space="preserve">Small assistants, classifiers</t>
  </si>
  <si>
    <t xml:space="preserve">Mistral 7B class</t>
  </si>
  <si>
    <t xml:space="preserve">Llama 3 8B class</t>
  </si>
  <si>
    <t xml:space="preserve">Older 13B chat models</t>
  </si>
  <si>
    <t xml:space="preserve">Qwen 32B class</t>
  </si>
  <si>
    <t xml:space="preserve">Llama 3 70B class</t>
  </si>
  <si>
    <t xml:space="preserve">Mistral Large class</t>
  </si>
  <si>
    <t xml:space="preserve">Llama 3.1 405B class</t>
  </si>
  <si>
    <t xml:space="preserve">DeepSeek V3 class</t>
  </si>
  <si>
    <t xml:space="preserve">Things this rule of thumb does not capture:</t>
  </si>
  <si>
    <t xml:space="preserve">   -  Very long context windows (100k+ tokens) can double or triple the cache, so add more headroom.</t>
  </si>
  <si>
    <t xml:space="preserve">   -  Many simultaneous users also grows the cache. If you expect heavy traffic, size up a tier.</t>
  </si>
  <si>
    <t xml:space="preserve">   -  Training or fine-tuning a model needs roughly three to four times the memory of just serving it.</t>
  </si>
  <si>
    <t xml:space="preserve">   -  A model can be split across several GPUs in one machine, which is why the 8-GPU nodes show such large totals.</t>
  </si>
  <si>
    <t xml:space="preserve">   -  Quantising to INT4 saves a lot of money but does cost some answer quality. Test before you commit.</t>
  </si>
  <si>
    <t xml:space="preserve">   -  H200, MI300X and B200 are sold only as full eight-GPU machines - and on Google Cloud the H200 and B200 families cannot be launched as normal on-demand VMs at all; they need a reservation, Spot, or Flex-start.</t>
  </si>
  <si>
    <t xml:space="preserve">Rate Card and Assumptions</t>
  </si>
  <si>
    <t xml:space="preserve">All rates are US-region list prices in US dollars, checked August 2026. Blue numbers are assumptions or rates you may change. See the Sources tab.</t>
  </si>
  <si>
    <t xml:space="preserve">A.  STORAGE  -  price per GB per month</t>
  </si>
  <si>
    <t xml:space="preserve">Storage option</t>
  </si>
  <si>
    <t xml:space="preserve">Google Cloud $/GB-mo</t>
  </si>
  <si>
    <t xml:space="preserve">Microsoft Azure $/GB-mo</t>
  </si>
  <si>
    <t xml:space="preserve">What this maps to</t>
  </si>
  <si>
    <t xml:space="preserve">Economy (HDD)</t>
  </si>
  <si>
    <t xml:space="preserve">GCP Standard persistent disk  /  Azure Standard HDD</t>
  </si>
  <si>
    <t xml:space="preserve">Standard SSD</t>
  </si>
  <si>
    <t xml:space="preserve">GCP Balanced persistent disk  /  Azure Standard SSD</t>
  </si>
  <si>
    <t xml:space="preserve">GCP Balanced persistent disk  /  Azure Premium SSD v2</t>
  </si>
  <si>
    <t xml:space="preserve">High performance SSD</t>
  </si>
  <si>
    <t xml:space="preserve">GCP SSD persistent disk  /  Azure Premium SSD (P30-class)</t>
  </si>
  <si>
    <t xml:space="preserve">B.  DATA TRANSFER OUT (egress)  -  price per GB per month</t>
  </si>
  <si>
    <t xml:space="preserve">Band</t>
  </si>
  <si>
    <t xml:space="preserve">Google Cloud (Premium tier)</t>
  </si>
  <si>
    <t xml:space="preserve">Notes</t>
  </si>
  <si>
    <t xml:space="preserve">Free allowance (GB per month)</t>
  </si>
  <si>
    <t xml:space="preserve">Azure gives a far bigger free allowance</t>
  </si>
  <si>
    <t xml:space="preserve">First 1 TB (1,024 GB) $/GB</t>
  </si>
  <si>
    <t xml:space="preserve">GCP Standard-tier networking is cheaper (~$0.085) if you can use it</t>
  </si>
  <si>
    <t xml:space="preserve">Next 9 TB (up to 10 TB) $/GB</t>
  </si>
  <si>
    <t xml:space="preserve">Azure is flat across this range</t>
  </si>
  <si>
    <t xml:space="preserve">Above 10 TB $/GB</t>
  </si>
  <si>
    <t xml:space="preserve">Azure discounts further above ~150 TB/month (not modelled)</t>
  </si>
  <si>
    <t xml:space="preserve">Tiers apply to total monthly volume; the free allowance is a credit inside the first tier, not an extra slice on top of it.</t>
  </si>
  <si>
    <t xml:space="preserve">C.  REGION PRICE UPLIFT  -  multiplier applied to the machine rate</t>
  </si>
  <si>
    <t xml:space="preserve">us-central1 / East US - the cheapest and the basis of every rate here</t>
  </si>
  <si>
    <t xml:space="preserve">Western Europe</t>
  </si>
  <si>
    <t xml:space="preserve">Approximate. Azure West Europe runs about 19% above East US</t>
  </si>
  <si>
    <t xml:space="preserve">Asia-Pacific</t>
  </si>
  <si>
    <t xml:space="preserve">Approximate. Southeast Asia runs about 30% above East US on Azure</t>
  </si>
  <si>
    <t xml:space="preserve">Australia</t>
  </si>
  <si>
    <t xml:space="preserve">Approximate. Australia East runs about 33% above East US on Azure</t>
  </si>
  <si>
    <t xml:space="preserve">D.  DISCOUNT AND TIME ASSUMPTIONS</t>
  </si>
  <si>
    <t xml:space="preserve">Assumption</t>
  </si>
  <si>
    <t xml:space="preserve">Spot price factor (used only where no spot rate is published)</t>
  </si>
  <si>
    <t xml:space="preserve">GCP spot is typically 60-91% off; Azure spot 70-82% off. These are mid-range.</t>
  </si>
  <si>
    <t xml:space="preserve">1-Year commitment factor (share of on-demand you still pay)</t>
  </si>
  <si>
    <t xml:space="preserve">GCP committed-use ~25-37% off; Azure 1-yr reserved ~35% off. GPU discounts are shallower than CPU.</t>
  </si>
  <si>
    <t xml:space="preserve">Billable hours in an average month</t>
  </si>
  <si>
    <t xml:space="preserve">730 = 24 x 365 / 12. Used for the monthly column on the price list.</t>
  </si>
  <si>
    <t xml:space="preserve">E.  MANAGED AI PLATFORM UPLIFT  -  added to the compute cost</t>
  </si>
  <si>
    <t xml:space="preserve">Uplift on compute</t>
  </si>
  <si>
    <t xml:space="preserve">Vertex AI training charges roughly 26% above the raw Compute Engine rate</t>
  </si>
  <si>
    <t xml:space="preserve">Azure Machine Learning compute runs roughly 25% above the raw VM rate</t>
  </si>
  <si>
    <t xml:space="preserve">F.  MODEL MEMORY  -  bytes of GPU memory per parameter</t>
  </si>
  <si>
    <t xml:space="preserve">Precision</t>
  </si>
  <si>
    <t xml:space="preserve">Bytes per parameter</t>
  </si>
  <si>
    <t xml:space="preserve">FP16 / BF16 - best quality</t>
  </si>
  <si>
    <t xml:space="preserve">Full quality. Standard for training and quality-critical serving.</t>
  </si>
  <si>
    <t xml:space="preserve">FP8 / INT8 - balanced</t>
  </si>
  <si>
    <t xml:space="preserve">Half the memory, very little quality loss for most tasks.</t>
  </si>
  <si>
    <t xml:space="preserve">INT4 - smallest and cheapest</t>
  </si>
  <si>
    <t xml:space="preserve">Quarter the memory. Some quality loss; very popular for serving.</t>
  </si>
  <si>
    <t xml:space="preserve">G.  DROPDOWN LISTS  -  used by the Calculator tab. Do not edit or reorder.</t>
  </si>
  <si>
    <t xml:space="preserve">Managed service</t>
  </si>
  <si>
    <t xml:space="preserve">Machine choice</t>
  </si>
  <si>
    <t xml:space="preserve">Support level</t>
  </si>
  <si>
    <t xml:space="preserve">Inference sizing</t>
  </si>
  <si>
    <t xml:space="preserve">On-demand (pay as you go)</t>
  </si>
  <si>
    <t xml:space="preserve">No - plain virtual machines</t>
  </si>
  <si>
    <t xml:space="preserve">Spot (interruptible, cheapest)</t>
  </si>
  <si>
    <t xml:space="preserve">Yes - managed AI platform</t>
  </si>
  <si>
    <t xml:space="preserve">Microsoft Azure | Standard_NC4as_T4_v3</t>
  </si>
  <si>
    <t xml:space="preserve">Low</t>
  </si>
  <si>
    <t xml:space="preserve">No - ignore traffic, size on memory only</t>
  </si>
  <si>
    <t xml:space="preserve">1-Year commitment</t>
  </si>
  <si>
    <t xml:space="preserve">Google Cloud | n1-standard-4 + 1x T4</t>
  </si>
  <si>
    <t xml:space="preserve">Medium</t>
  </si>
  <si>
    <t xml:space="preserve">Google Cloud | n1-standard-8 + 1x T4</t>
  </si>
  <si>
    <t xml:space="preserve">High</t>
  </si>
  <si>
    <t xml:space="preserve">Microsoft Azure | Standard_NC8as_T4_v3</t>
  </si>
  <si>
    <t xml:space="preserve">Google Cloud | n1-standard-8 + 2x T4</t>
  </si>
  <si>
    <t xml:space="preserve">Google Cloud | g2-standard-4</t>
  </si>
  <si>
    <t xml:space="preserve">Google Cloud | g2-standard-8</t>
  </si>
  <si>
    <t xml:space="preserve">Google Cloud | g2-standard-24</t>
  </si>
  <si>
    <t xml:space="preserve">Microsoft Azure | Standard_NV36ads_A10_v5</t>
  </si>
  <si>
    <t xml:space="preserve">Google Cloud | g2-standard-48</t>
  </si>
  <si>
    <t xml:space="preserve">Google Cloud | g2-standard-96</t>
  </si>
  <si>
    <t xml:space="preserve">Google Cloud | a2-highgpu-1g</t>
  </si>
  <si>
    <t xml:space="preserve">Google Cloud | a2-highgpu-2g</t>
  </si>
  <si>
    <t xml:space="preserve">Google Cloud | a2-highgpu-4g</t>
  </si>
  <si>
    <t xml:space="preserve">Google Cloud | a2-highgpu-8g</t>
  </si>
  <si>
    <t xml:space="preserve">Google Cloud | a2-megagpu-16g</t>
  </si>
  <si>
    <t xml:space="preserve">Microsoft Azure | Standard_NC24ads_A100_v4</t>
  </si>
  <si>
    <t xml:space="preserve">Google Cloud | a2-ultragpu-1g</t>
  </si>
  <si>
    <t xml:space="preserve">Microsoft Azure | Standard_NC48ads_A100_v4</t>
  </si>
  <si>
    <t xml:space="preserve">Google Cloud | a2-ultragpu-2g</t>
  </si>
  <si>
    <t xml:space="preserve">Microsoft Azure | Standard_NC96ads_A100_v4</t>
  </si>
  <si>
    <t xml:space="preserve">Google Cloud | a2-ultragpu-4g</t>
  </si>
  <si>
    <t xml:space="preserve">Google Cloud | a2-ultragpu-8g</t>
  </si>
  <si>
    <t xml:space="preserve">Microsoft Azure | Standard_NC40ads_H100_v5</t>
  </si>
  <si>
    <t xml:space="preserve">Microsoft Azure | Standard_NC80adis_H100_v5</t>
  </si>
  <si>
    <t xml:space="preserve">Google Cloud | a3-highgpu-8g</t>
  </si>
  <si>
    <t xml:space="preserve">Microsoft Azure | Standard_ND96isr_H100_v5</t>
  </si>
  <si>
    <t xml:space="preserve">Google Cloud | a3-ultragpu-8g</t>
  </si>
  <si>
    <t xml:space="preserve">Microsoft Azure | Standard_ND96isr_H200_v5</t>
  </si>
  <si>
    <t xml:space="preserve">Microsoft Azure | Standard_ND96isr_MI300X_v5</t>
  </si>
  <si>
    <t xml:space="preserve">Google Cloud | a4-highgpu-8g</t>
  </si>
  <si>
    <t xml:space="preserve">H.  LABOUR / SUPPORT COST  -  the people who keep the model running</t>
  </si>
  <si>
    <t xml:space="preserve">Recommended for</t>
  </si>
  <si>
    <t xml:space="preserve">What this level typically covers</t>
  </si>
  <si>
    <t xml:space="preserve">Small models - up to 13 billion parameters</t>
  </si>
  <si>
    <t xml:space="preserve">Keeping the lights on: patching, monitoring alerts, occasional restarts. Roughly half a day a week.</t>
  </si>
  <si>
    <t xml:space="preserve">Medium models - 14 to 70 billion parameters</t>
  </si>
  <si>
    <t xml:space="preserve">The above plus tuning, capacity changes, incident response and version upgrades. Roughly one and a half days a week.</t>
  </si>
  <si>
    <t xml:space="preserve">Large models - more than 70 billion parameters</t>
  </si>
  <si>
    <t xml:space="preserve">A dedicated engineer: multi-GPU orchestration, performance work, on-call cover, cost control. About one full-time person.</t>
  </si>
  <si>
    <t xml:space="preserve">Set on the Calculator tab, step 5. Shown here for reference only.</t>
  </si>
  <si>
    <t xml:space="preserve">Size threshold - Low support applies up to (billion parameters)</t>
  </si>
  <si>
    <t xml:space="preserve">Models at or below this size get the Low recommendation.</t>
  </si>
  <si>
    <t xml:space="preserve">Size threshold - Medium support applies up to (billion parameters)</t>
  </si>
  <si>
    <t xml:space="preserve">Above this size the recommendation becomes High.</t>
  </si>
  <si>
    <t xml:space="preserve">I.  SIMPLE_CALC TRANSLATION  -  how the three plain-English answers become settings</t>
  </si>
  <si>
    <t xml:space="preserve">Step 1 answer  -  how big is the model</t>
  </si>
  <si>
    <t xml:space="preserve">Billions of parameters</t>
  </si>
  <si>
    <t xml:space="preserve">Disk GB per copy</t>
  </si>
  <si>
    <t xml:space="preserve">Small  -  simple chatbot, classifying or tagging text, autocomplete</t>
  </si>
  <si>
    <t xml:space="preserve">8B class, e.g. Llama 3 8B</t>
  </si>
  <si>
    <t xml:space="preserve">Medium  -  a capable general-purpose assistant</t>
  </si>
  <si>
    <t xml:space="preserve">32B class, e.g. Qwen 32B</t>
  </si>
  <si>
    <t xml:space="preserve">70B class, e.g. Llama 3 70B</t>
  </si>
  <si>
    <t xml:space="preserve">Very large  -  frontier-class, the biggest open models available</t>
  </si>
  <si>
    <t xml:space="preserve">405B class, e.g. Llama 3.1 405B</t>
  </si>
  <si>
    <t xml:space="preserve">Step 2 answer  -  how much use</t>
  </si>
  <si>
    <t xml:space="preserve">Hours per day</t>
  </si>
  <si>
    <t xml:space="preserve">Days per month</t>
  </si>
  <si>
    <t xml:space="preserve">Data out GB per month</t>
  </si>
  <si>
    <t xml:space="preserve">Just me or a few people, trying it out</t>
  </si>
  <si>
    <t xml:space="preserve">One team, during working hours only</t>
  </si>
  <si>
    <t xml:space="preserve">Customer-facing service, around the clock, with a spare copy</t>
  </si>
  <si>
    <t xml:space="preserve">Step 3 answer  -  what matters most</t>
  </si>
  <si>
    <t xml:space="preserve">Lowest possible cost</t>
  </si>
  <si>
    <t xml:space="preserve">Smallest memory footprint and interruptible machines - cheapest, some quality and reliability trade-off</t>
  </si>
  <si>
    <t xml:space="preserve">Half-precision and normal pay-as-you-go machines - the sensible middle</t>
  </si>
  <si>
    <t xml:space="preserve">Reliability and answer quality above all</t>
  </si>
  <si>
    <t xml:space="preserve">Full precision, a committed 1-year rate, and a managed platform to reduce the chance of mistakes</t>
  </si>
  <si>
    <t xml:space="preserve">J.  INFERENCE THROUGHPUT ASSUMPTIONS  -  how fast one machine can generate tokens</t>
  </si>
  <si>
    <t xml:space="preserve">Value</t>
  </si>
  <si>
    <t xml:space="preserve">Batching gain</t>
  </si>
  <si>
    <t xml:space="preserve">Serving many requests at once reads the weights once for the whole batch. 16 is a realistic gain for a well-tuned server (vLLM / TensorRT-LLM); drop to 4-8 for a naive setup.</t>
  </si>
  <si>
    <t xml:space="preserve">Useful utilisation of peak bandwidth</t>
  </si>
  <si>
    <t xml:space="preserve">No server reaches theoretical bandwidth. 0.70 is a common real-world figure.</t>
  </si>
  <si>
    <t xml:space="preserve">Prefill speed advantage over decode</t>
  </si>
  <si>
    <t xml:space="preserve">Reading a prompt is compute-bound and far faster per token than generating one. Input tokens are charged at one tenth the cost of an output token.</t>
  </si>
  <si>
    <t xml:space="preserve">K.  HOSTED PAY-PER-TOKEN MODELS  -  price per 1 million tokens, August 2026</t>
  </si>
  <si>
    <t xml:space="preserve">Sorted cheapest first within each platform. Columns I to K are used by the Calculator and Comparison tabs - please leave them alone.</t>
  </si>
  <si>
    <t xml:space="preserve">Model provider</t>
  </si>
  <si>
    <t xml:space="preserve">$ per 1M input</t>
  </si>
  <si>
    <t xml:space="preserve">$ per 1M output</t>
  </si>
  <si>
    <t xml:space="preserve">Context window</t>
  </si>
  <si>
    <t xml:space="preserve">Cost/month at your traffic</t>
  </si>
  <si>
    <t xml:space="preserve">Gemini 2.5 Flash-Lite</t>
  </si>
  <si>
    <t xml:space="preserve">Google</t>
  </si>
  <si>
    <t xml:space="preserve">1M</t>
  </si>
  <si>
    <t xml:space="preserve">Cheapest option anywhere. Classification, tagging, extraction</t>
  </si>
  <si>
    <t xml:space="preserve">Published - RETIRES 16 Oct 2026</t>
  </si>
  <si>
    <t xml:space="preserve">Gemini 3.1 Flash-Lite</t>
  </si>
  <si>
    <t xml:space="preserve">High-volume production on the current generation</t>
  </si>
  <si>
    <t xml:space="preserve">High volume where newer model behaviour matters</t>
  </si>
  <si>
    <t xml:space="preserve">Gemini 3 Flash</t>
  </si>
  <si>
    <t xml:space="preserve">Balanced speed and capability, previous generation</t>
  </si>
  <si>
    <t xml:space="preserve">Gemini 3.7 Flash</t>
  </si>
  <si>
    <t xml:space="preserve">Current default workhorse. Introductory rate</t>
  </si>
  <si>
    <t xml:space="preserve">Intro price to 31 Dec 2026, then $1.50/$7.50</t>
  </si>
  <si>
    <t xml:space="preserve">Gemini 3.6 Flash</t>
  </si>
  <si>
    <t xml:space="preserve">Workhorse tier, introductory rate</t>
  </si>
  <si>
    <t xml:space="preserve">Claude Haiku 4.5 (Vertex AI)</t>
  </si>
  <si>
    <t xml:space="preserve">Anthropic</t>
  </si>
  <si>
    <t xml:space="preserve">200K</t>
  </si>
  <si>
    <t xml:space="preserve">Fast, cheap Claude for extraction and routing</t>
  </si>
  <si>
    <t xml:space="preserve">Gemini 3.5 Flash</t>
  </si>
  <si>
    <t xml:space="preserve">Frontier-class speed tier with grounding</t>
  </si>
  <si>
    <t xml:space="preserve">Claude Sonnet 5 (Vertex AI)</t>
  </si>
  <si>
    <t xml:space="preserve">Best price-performance Claude. Agentic work, coding</t>
  </si>
  <si>
    <t xml:space="preserve">Gemini 3.1 Pro</t>
  </si>
  <si>
    <t xml:space="preserve">Google flagship reasoning. $4/$18 above 200K tokens</t>
  </si>
  <si>
    <t xml:space="preserve">Claude Opus 5 (Vertex AI)</t>
  </si>
  <si>
    <t xml:space="preserve">Hardest reasoning, long-running agents</t>
  </si>
  <si>
    <t xml:space="preserve">GPT-5.6 Luna</t>
  </si>
  <si>
    <t xml:space="preserve">OpenAI</t>
  </si>
  <si>
    <t xml:space="preserve">1.05M</t>
  </si>
  <si>
    <t xml:space="preserve">Cheapest GPT-5.6 tier. High-volume work</t>
  </si>
  <si>
    <t xml:space="preserve">List parity with OpenAI from 1 Aug 2026 - SEE BILLING NOTE</t>
  </si>
  <si>
    <t xml:space="preserve">GPT-5.4 mini</t>
  </si>
  <si>
    <t xml:space="preserve">400K</t>
  </si>
  <si>
    <t xml:space="preserve">Small previous-generation model</t>
  </si>
  <si>
    <t xml:space="preserve">Claude Haiku 4.5 (Foundry)</t>
  </si>
  <si>
    <t xml:space="preserve">Fast, cheap Claude on Azure</t>
  </si>
  <si>
    <t xml:space="preserve">GPT-5.1</t>
  </si>
  <si>
    <t xml:space="preserve">Older family, still on the price sheet</t>
  </si>
  <si>
    <t xml:space="preserve">Claude Sonnet 5 (Foundry)</t>
  </si>
  <si>
    <t xml:space="preserve">Best price-performance Claude on Azure</t>
  </si>
  <si>
    <t xml:space="preserve">GPT-5.6 Terra</t>
  </si>
  <si>
    <t xml:space="preserve">The production default for most workloads</t>
  </si>
  <si>
    <t xml:space="preserve">GPT-5.4</t>
  </si>
  <si>
    <t xml:space="preserve">Previous-generation mid tier</t>
  </si>
  <si>
    <t xml:space="preserve">Claude Opus 5 (Foundry)</t>
  </si>
  <si>
    <t xml:space="preserve">Hardest reasoning Claude on Azure</t>
  </si>
  <si>
    <t xml:space="preserve">GPT-5.6 Sol</t>
  </si>
  <si>
    <t xml:space="preserve">OpenAI flagship. Frontier coding and reasoning</t>
  </si>
  <si>
    <t xml:space="preserve">GPT-5.5</t>
  </si>
  <si>
    <t xml:space="preserve">Previous flagship, same rate as Sol</t>
  </si>
  <si>
    <t xml:space="preserve">BILLING NOTE on the GPT-5.6 family: Microsoft states Azure matched OpenAI's 30 July 2026 price cut for Luna and Terra with effect from 1 August 2026, and the list rates above reflect that. Multiple customers have publicly reported being billed several times those rates on Foundry. Verify your own rate in Azure Cost Management before you budget on these two rows.</t>
  </si>
  <si>
    <t xml:space="preserve">Also excluded from these rates: Google charges a 10% premium on regional and multi-region endpoints versus global ones; Gemini Pro models re-price above 200K tokens; reasoning and thinking tokens bill as output; prompt caching cuts repeat input by about 90% and the Batch APIs give roughly 50% off, neither of which is modelled here. Treat these as undiscounted list prices.</t>
  </si>
  <si>
    <t xml:space="preserve">Read me first</t>
  </si>
  <si>
    <t xml:space="preserve">What this workbook does</t>
  </si>
  <si>
    <t xml:space="preserve">It estimates the monthly cost of running a large language model on your own cloud machines, on either Google Cloud or Microsoft Azure. It compares the two, shows you the cheapest machine that is big enough for your model, and adds the cost of the people needed to support it.</t>
  </si>
  <si>
    <t xml:space="preserve">How to use it  -  the short way</t>
  </si>
  <si>
    <t xml:space="preserve">Open the Simple_Calc tab. It is the first one. Answer three questions from drop-down lists and read the total. That is all most people need.</t>
  </si>
  <si>
    <t xml:space="preserve">Your three answers are sent to the Calculator tab automatically, so both tabs always agree.</t>
  </si>
  <si>
    <t xml:space="preserve">How to use it  -  the detailed way</t>
  </si>
  <si>
    <t xml:space="preserve">1.  Open the Calculator tab. Rows marked &gt;&gt; arrive from Simple_Calc; every other yellow box is yours to set - region, cloud, disk type, support level.</t>
  </si>
  <si>
    <t xml:space="preserve">2.  Rows marked &gt;&gt; start blank and borrow their value from Simple_Calc. Type into one and your value takes over that row immediately. Clear it and the row goes back to following Simple_Calc.</t>
  </si>
  <si>
    <t xml:space="preserve">3.  The 'Value in use' and 'Coming from' columns on the right always show which number the estimate is using and where it came from, so nothing changes silently.</t>
  </si>
  <si>
    <t xml:space="preserve">4.  Read your answer in step 6, at the bottom of the tab.</t>
  </si>
  <si>
    <t xml:space="preserve">5.  Open the Comparison tab to see Google Cloud and Azure side by side for the same requirement.</t>
  </si>
  <si>
    <t xml:space="preserve">The only two numbers you really have to know</t>
  </si>
  <si>
    <t xml:space="preserve">How big your model is, in billions of parameters. It is usually in the name: 'Llama 3 70B' is 70. If you do not know, 8 is a good small default and 70 a good large one.</t>
  </si>
  <si>
    <t xml:space="preserve">How many hours a day it needs to be switched on. A GPU machine costs the same whether it is working or idle, so this is often the biggest lever you have.</t>
  </si>
  <si>
    <t xml:space="preserve">Support and labour (step 5)</t>
  </si>
  <si>
    <t xml:space="preserve">The machines are only part of the cost - somebody has to run them. Step 5 recommends a support level from your model size: Low for models up to 13 billion parameters, Medium up to 70 billion, High above that. Low is about 20 engineer hours a month, Medium 60, and High 160, which is roughly one full-time person. At $116 an hour that is $2,320, $6,960 or $18,560 a month.</t>
  </si>
  <si>
    <t xml:space="preserve">You can override all of it. Change the support level in the drop-down, type your own number of hours in the override box, or change the hourly rate. The hours table and the size thresholds live on the Rates tab if you want to reset the defaults for your organisation.</t>
  </si>
  <si>
    <t xml:space="preserve">For smaller models this is often the largest single line on the bill - larger than the GPUs. That is normal and worth showing your finance team.</t>
  </si>
  <si>
    <t xml:space="preserve">The tabs</t>
  </si>
  <si>
    <t xml:space="preserve">Report               A one-page executive summary that fills itself in. Print or export this one.</t>
  </si>
  <si>
    <t xml:space="preserve">Simple_Calc       Three questions, one number. Start here.</t>
  </si>
  <si>
    <t xml:space="preserve">Calculator          The full form, with every setting exposed and editable. Rows marked &gt;&gt; follow Simple_Calc until you switch to Expert mode.</t>
  </si>
  <si>
    <t xml:space="preserve">Inference           Your expected traffic. Feeds the machine sizing, the cost per million tokens, and step 7.</t>
  </si>
  <si>
    <t xml:space="preserve">Comparison       Four ways side by side: self-host or pay per token, on Google Cloud or Azure.</t>
  </si>
  <si>
    <t xml:space="preserve">GPU_Price_List   Every machine, cheapest GPU tier first. Prices, specs, and where each price came from.</t>
  </si>
  <si>
    <t xml:space="preserve">Sizing_Guide      How much GPU memory common model sizes need.</t>
  </si>
  <si>
    <t xml:space="preserve">Rates                 Storage, data transfer, region, discount and support-hour rates. Change these if you have negotiated better prices.</t>
  </si>
  <si>
    <t xml:space="preserve">Sources             Where every number came from and when it was checked.</t>
  </si>
  <si>
    <t xml:space="preserve">Build or buy?</t>
  </si>
  <si>
    <t xml:space="preserve">Step 7 on the Calculator prices the other option: paying per token for a hosted model - Gemini, GPT or Claude - running on Google Cloud or Azure. Same traffic, no machines to run. The Comparison tab puts all four options side by side, and Simple_Calc names the cheapest.</t>
  </si>
  <si>
    <t xml:space="preserve">Expect pay-per-token to win by a wide margin at low and moderate volume. A rented GPU costs the same idle or busy, so light traffic pays for hardware that is mostly doing nothing. Self-hosting starts to compete only at very heavy, steady volume - or when the data cannot leave your control, which is a reason no calculator can price.</t>
  </si>
  <si>
    <t xml:space="preserve">Fitting is not the same as keeping up</t>
  </si>
  <si>
    <t xml:space="preserve">A machine can have enough memory to hold your model and still be far too slow to serve your traffic. The Inference tab handles that: tell it how many requests a month you expect and it works out how many machines the load needs, then feeds that back into the estimate automatically. It also gives you a cost per million tokens, which is the number to hold against a pay-per-token API quote.</t>
  </si>
  <si>
    <t xml:space="preserve">Five things that surprise people about cloud GPU bills</t>
  </si>
  <si>
    <t xml:space="preserve">The GPU is not the whole bill. Storage, data leaving the cloud and support labour all add up, and a managed platform adds about a quarter on top of compute.</t>
  </si>
  <si>
    <t xml:space="preserve">Idle machines cost full price. Most overspend is machines nobody turned off.</t>
  </si>
  <si>
    <t xml:space="preserve">Some GPUs are sold only in packs of eight. If you need one H100 on Google Cloud you still rent all eight. Azure sells single H100 NVL and single A100 80GB machines, which is often the cheaper route for small jobs.</t>
  </si>
  <si>
    <t xml:space="preserve">You cannot just launch these. Both clouds start your GPU quota at zero and you have to ask permission, which takes days for common GPUs and weeks for the newest ones.</t>
  </si>
  <si>
    <t xml:space="preserve">Spot machines are 60-85% cheaper but the cloud can take them back with about 30 seconds' notice. Fine for batch jobs, not for a live service.</t>
  </si>
  <si>
    <t xml:space="preserve">Please read this before you rely on the numbers</t>
  </si>
  <si>
    <t xml:space="preserve">These are published list prices for US regions, checked in August 2026. Cloud GPU prices move often and vary by region and by what your organisation has negotiated. Rows on the price list marked 'scaled' or 'estimate' are not published prices - check those in the provider's own calculator before you commit budget. Treat the total as a planning figure with a margin of error, not a quote.</t>
  </si>
  <si>
    <t xml:space="preserve">Sources and change log</t>
  </si>
  <si>
    <t xml:space="preserve">Every rate in this workbook traces to one of the sources below. GPU and hosted-model rates re-verified 2 September 2026.</t>
  </si>
  <si>
    <t xml:space="preserve">What it covers</t>
  </si>
  <si>
    <t xml:space="preserve">Date checked</t>
  </si>
  <si>
    <t xml:space="preserve">Google Cloud GPU machine rates (G2/L4, A2/A100, A3/H100)</t>
  </si>
  <si>
    <t xml:space="preserve">cloud.google.com/products/compute/pricing/accelerator-optimized  +  the pricing.yml in your archive</t>
  </si>
  <si>
    <t xml:space="preserve">Aug 2026</t>
  </si>
  <si>
    <t xml:space="preserve">The archive's April 2025 figures still match today's published rates exactly, so they were kept.</t>
  </si>
  <si>
    <t xml:space="preserve">Google Cloud H200 (a3-ultragpu-8g) and B200 (a4-highgpu-8g)</t>
  </si>
  <si>
    <t xml:space="preserve">Google Cloud pricing page; DevZero, CloudPrice, Spheron, IntuitionLabs trackers</t>
  </si>
  <si>
    <t xml:space="preserve">Neither family launches as a normal on-demand VM - reservation, Spot or Flex-start only. B200 node rate $39.63/hr (trackers range $34-40); B200 on A4 exposes 180 GB per GPU, 1,440 GB per node.</t>
  </si>
  <si>
    <t xml:space="preserve">Google Cloud spot and committed-use discount ranges</t>
  </si>
  <si>
    <t xml:space="preserve">cloud.google.com/products/compute/gpus-pricing</t>
  </si>
  <si>
    <t xml:space="preserve">Spot is 60-91% off and can change monthly. Committed use is 25-37% off for one year.</t>
  </si>
  <si>
    <t xml:space="preserve">Google Cloud disk prices ($0.04 / $0.10 / $0.17 per GB-month)</t>
  </si>
  <si>
    <t xml:space="preserve">cloud.google.com/compute/disks-image-pricing, us-central1</t>
  </si>
  <si>
    <t xml:space="preserve">Standard, Balanced and SSD persistent disk.</t>
  </si>
  <si>
    <t xml:space="preserve">Google Cloud egress ($0.12 / $0.11 / $0.08 per GB, 1 GB free)</t>
  </si>
  <si>
    <t xml:space="preserve">Google Cloud network pricing; cross-checked against egresscost.com</t>
  </si>
  <si>
    <t xml:space="preserve">Jun 2026</t>
  </si>
  <si>
    <t xml:space="preserve">Premium tier. Standard tier is about $0.085/GB with 200 GiB free if you can use it.</t>
  </si>
  <si>
    <t xml:space="preserve">Azure T4, A10, A100 80GB, H100 and H200 VM rates</t>
  </si>
  <si>
    <t xml:space="preserve">instances.vantage.sh and cloudprice.net, East US / East US 2 Linux pay-as-you-go</t>
  </si>
  <si>
    <t xml:space="preserve">Jul-Aug 2026</t>
  </si>
  <si>
    <t xml:space="preserve">Published spot rates were used where they exist. ND H200 v5 has no published spot rate.</t>
  </si>
  <si>
    <t xml:space="preserve">Azure NC48ads / NC96ads A100 v4 and NC80adis H100 v5</t>
  </si>
  <si>
    <t xml:space="preserve">Scaled from the published single-GPU rate</t>
  </si>
  <si>
    <t xml:space="preserve">Not a published figure. Confirm in the Azure pricing calculator.</t>
  </si>
  <si>
    <t xml:space="preserve">Azure MI300X</t>
  </si>
  <si>
    <t xml:space="preserve">Third-party GPU price index (about $7.86 per GPU-hour)</t>
  </si>
  <si>
    <t xml:space="preserve">Jul 2026</t>
  </si>
  <si>
    <t xml:space="preserve">Estimate only. Microsoft does not publish this rate as clearly as the NVIDIA SKUs.</t>
  </si>
  <si>
    <t xml:space="preserve">Azure disk prices and egress ($0.087/GB after 100 GB free)</t>
  </si>
  <si>
    <t xml:space="preserve">azure.microsoft.com/pricing/details/managed-disks; egresscost.com; Azure Retail Prices API summaries</t>
  </si>
  <si>
    <t xml:space="preserve">Jun-Aug 2026</t>
  </si>
  <si>
    <t xml:space="preserve">Premium SSD v2 at $0.081/GiB comes from Microsoft's own worked example.</t>
  </si>
  <si>
    <t xml:space="preserve">Azure region uplifts (+19% Europe, +30% SE Asia, +33% Australia)</t>
  </si>
  <si>
    <t xml:space="preserve">Published regional comparisons of the 8x H100 SKU</t>
  </si>
  <si>
    <t xml:space="preserve">2026</t>
  </si>
  <si>
    <t xml:space="preserve">Approximate and applied to every machine. Check your own region for anything important.</t>
  </si>
  <si>
    <t xml:space="preserve">Managed platform uplift (Vertex AI ~26%, Azure ML ~25%)</t>
  </si>
  <si>
    <t xml:space="preserve">Vertex AI and Azure ML pricing pages, compared with the raw VM rate for the same machine</t>
  </si>
  <si>
    <t xml:space="preserve">Worked example: a2-highgpu-8g at $33.07/hr on Vertex AI vs $26.27/hr raw.</t>
  </si>
  <si>
    <t xml:space="preserve">Support and labour: $116 per hour</t>
  </si>
  <si>
    <t xml:space="preserve">Supplied by you</t>
  </si>
  <si>
    <t xml:space="preserve">Applied to every support level. Editable on the Calculator tab, step 5.</t>
  </si>
  <si>
    <t xml:space="preserve">Support hours per level (Low 20, Medium 60, High 160) and the 13B / 70B size thresholds</t>
  </si>
  <si>
    <t xml:space="preserve">Planning assumption, not a published figure</t>
  </si>
  <si>
    <t xml:space="preserve">-</t>
  </si>
  <si>
    <t xml:space="preserve">High is about one full-time engineer. Adjust all five numbers in section H of the Rates tab to match how your team actually works.</t>
  </si>
  <si>
    <t xml:space="preserve">Gemini model pricing on Vertex AI / Agent Platform</t>
  </si>
  <si>
    <t xml:space="preserve">cloud.google.com/gemini-enterprise-agent-platform/generative-ai/pricing</t>
  </si>
  <si>
    <t xml:space="preserve">Gemini 3.7 and 3.6 Flash are on an introductory rate of $0.75/$3.75 until 31 Dec 2026, then $1.50/$7.50. Gemini 2.5 Flash-Lite retires 16 Oct 2026. Pro models re-price above 200K tokens.</t>
  </si>
  <si>
    <t xml:space="preserve">Claude model pricing (Vertex AI and Microsoft Foundry)</t>
  </si>
  <si>
    <t xml:space="preserve">platform.claude.com/docs/en/about-claude/pricing</t>
  </si>
  <si>
    <t xml:space="preserve">Opus 5 $5/$25, Sonnet 5 $2/$10, Haiku 4.5 $1/$5. Anthropic confirmed the Sonnet 5 introductory rate is now standard and cancelled the September increase. Google regional and multi-region endpoints add 10% over global.</t>
  </si>
  <si>
    <t xml:space="preserve">OpenAI model pricing on Azure OpenAI / Foundry Models</t>
  </si>
  <si>
    <t xml:space="preserve">openai.com price-performance announcement, 30 Jul 2026; azure.microsoft.com/pricing/details/azure-openai</t>
  </si>
  <si>
    <t xml:space="preserve">Sol $5/$30, Terra $2/$12, Luna $0.20/$1.20 after the 30 Jul cut. Microsoft states Azure matched these from 1 Aug 2026, but customers have reported being billed several times these rates on Foundry - verify in Azure Cost Management.</t>
  </si>
  <si>
    <t xml:space="preserve">Pay-per-token exclusions</t>
  </si>
  <si>
    <t xml:space="preserve">Provider pricing pages</t>
  </si>
  <si>
    <t xml:space="preserve">List rates only. Prompt caching (about 90% off repeat input), Batch APIs (about 50% off), long-context re-pricing, reasoning-token billing and regional uplifts are not modelled.</t>
  </si>
  <si>
    <t xml:space="preserve">Model memory rule of thumb</t>
  </si>
  <si>
    <t xml:space="preserve">Standard practice: parameters x bytes per parameter, plus headroom for the KV cache</t>
  </si>
  <si>
    <t xml:space="preserve">2 bytes at FP16, 1 at FP8/INT8, 0.5 at INT4. Headroom default 30%.</t>
  </si>
  <si>
    <t xml:space="preserve">What changed from the source archive you supplied</t>
  </si>
  <si>
    <t xml:space="preserve">   -  Added Microsoft Azure. The archive priced Google Cloud only.</t>
  </si>
  <si>
    <t xml:space="preserve">   -  Added the GPU tiers the archive was missing: T4 at the bottom, and H200, MI300X and B200 at the top. The archive covered only A100, H100 and L4.</t>
  </si>
  <si>
    <t xml:space="preserve">   -  Fixed the disk prices in the archive's code. It used $0.020/GB for standard and $0.040/GB for balanced; the published rates are $0.040 and $0.100. Balanced was under-costed by 60%.</t>
  </si>
  <si>
    <t xml:space="preserve">   -  Kept the archive's egress tiers ($0.12 / $0.11 / $0.08) - they are still correct - and added the free allowance each cloud gives, which the archive ignored.</t>
  </si>
  <si>
    <t xml:space="preserve">   -  Replaced the 'pick the first GPU that fits' logic with 'pick the cheapest that fits', across both clouds.</t>
  </si>
  <si>
    <t xml:space="preserve">   -  Added the region uplift, spot and commitment pricing, and the managed-platform uplift, none of which the archive priced.</t>
  </si>
  <si>
    <t xml:space="preserve">   -  Added step 7: pay-per-token pricing for 21 hosted models from Google, OpenAI and Anthropic on both clouds, so the workbook now answers build-vs-buy rather than only build.</t>
  </si>
  <si>
    <t xml:space="preserve">   -  Added support and labour cost at $116 per hour, with a Low / Medium / High level recommended from the model size and fully editable. The archive priced hardware only.</t>
  </si>
  <si>
    <t xml:space="preserve">   -  Corrected a bug in the archive's code: filter_instances.py passed the minimum GPU memory into the disk cost function, so storage was priced off GPU memory rather than disk size.</t>
  </si>
</sst>
</file>

<file path=xl/styles.xml><?xml version="1.0" encoding="utf-8"?>
<styleSheet xmlns="http://schemas.openxmlformats.org/spreadsheetml/2006/main">
  <numFmts count="14">
    <numFmt numFmtId="164" formatCode="General"/>
    <numFmt numFmtId="165" formatCode="\$#,##0;&quot;($&quot;#,##0\);\-"/>
    <numFmt numFmtId="166" formatCode="0.0%"/>
    <numFmt numFmtId="167" formatCode="#,##0"/>
    <numFmt numFmtId="168" formatCode="#,##0.0"/>
    <numFmt numFmtId="169" formatCode="\$#,##0.00"/>
    <numFmt numFmtId="170" formatCode="#,##0.0000"/>
    <numFmt numFmtId="171" formatCode="0.00\x"/>
    <numFmt numFmtId="172" formatCode="\$#,##0.000"/>
    <numFmt numFmtId="173" formatCode="\$#,##0.0000"/>
    <numFmt numFmtId="174" formatCode="General"/>
    <numFmt numFmtId="175" formatCode="0.000"/>
    <numFmt numFmtId="176" formatCode="0.0"/>
    <numFmt numFmtId="177" formatCode="#,##0.00"/>
  </numFmts>
  <fonts count="41">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595959"/>
      <name val="Arial"/>
      <family val="0"/>
      <charset val="1"/>
    </font>
    <font>
      <b val="true"/>
      <sz val="10"/>
      <color rgb="FF1F3864"/>
      <name val="Arial"/>
      <family val="0"/>
      <charset val="1"/>
    </font>
    <font>
      <sz val="10"/>
      <color rgb="FF000000"/>
      <name val="Arial"/>
      <family val="0"/>
      <charset val="1"/>
    </font>
    <font>
      <b val="true"/>
      <sz val="11"/>
      <color rgb="FF000000"/>
      <name val="Arial"/>
      <family val="0"/>
      <charset val="1"/>
    </font>
    <font>
      <b val="true"/>
      <sz val="11"/>
      <color rgb="FF1F3864"/>
      <name val="Arial"/>
      <family val="0"/>
      <charset val="1"/>
    </font>
    <font>
      <sz val="9"/>
      <color rgb="FF595959"/>
      <name val="Arial"/>
      <family val="0"/>
      <charset val="1"/>
    </font>
    <font>
      <b val="true"/>
      <sz val="13"/>
      <color rgb="FF000000"/>
      <name val="Arial"/>
      <family val="0"/>
      <charset val="1"/>
    </font>
    <font>
      <b val="true"/>
      <sz val="13"/>
      <color rgb="FFC00000"/>
      <name val="Arial"/>
      <family val="0"/>
      <charset val="1"/>
    </font>
    <font>
      <b val="true"/>
      <sz val="10"/>
      <name val="Arial"/>
      <family val="0"/>
      <charset val="1"/>
    </font>
    <font>
      <b val="true"/>
      <sz val="10"/>
      <color rgb="FF000000"/>
      <name val="Arial"/>
      <family val="0"/>
      <charset val="1"/>
    </font>
    <font>
      <b val="true"/>
      <sz val="11"/>
      <color rgb="FFC00000"/>
      <name val="Arial"/>
      <family val="0"/>
      <charset val="1"/>
    </font>
    <font>
      <b val="true"/>
      <sz val="10"/>
      <color rgb="FFC00000"/>
      <name val="Arial"/>
      <family val="0"/>
      <charset val="1"/>
    </font>
    <font>
      <sz val="9"/>
      <name val="Arial"/>
      <family val="0"/>
      <charset val="1"/>
    </font>
    <font>
      <i val="true"/>
      <sz val="8"/>
      <color rgb="FF808080"/>
      <name val="Arial"/>
      <family val="0"/>
      <charset val="1"/>
    </font>
    <font>
      <b val="true"/>
      <sz val="16"/>
      <color rgb="FF1F3864"/>
      <name val="Arial"/>
      <family val="0"/>
      <charset val="1"/>
    </font>
    <font>
      <i val="true"/>
      <sz val="10"/>
      <color rgb="FF000000"/>
      <name val="Arial"/>
      <family val="0"/>
      <charset val="1"/>
    </font>
    <font>
      <b val="true"/>
      <sz val="11"/>
      <color rgb="FFFFFFFF"/>
      <name val="Arial"/>
      <family val="0"/>
      <charset val="1"/>
    </font>
    <font>
      <b val="true"/>
      <sz val="10"/>
      <color rgb="FF0000FF"/>
      <name val="Arial"/>
      <family val="0"/>
      <charset val="1"/>
    </font>
    <font>
      <sz val="10"/>
      <name val="Arial"/>
      <family val="0"/>
      <charset val="1"/>
    </font>
    <font>
      <b val="true"/>
      <sz val="10"/>
      <color rgb="FF008000"/>
      <name val="Arial"/>
      <family val="0"/>
      <charset val="1"/>
    </font>
    <font>
      <b val="true"/>
      <sz val="14"/>
      <color rgb="FF000000"/>
      <name val="Arial"/>
      <family val="0"/>
      <charset val="1"/>
    </font>
    <font>
      <b val="true"/>
      <sz val="14"/>
      <color rgb="FFC00000"/>
      <name val="Arial"/>
      <family val="0"/>
      <charset val="1"/>
    </font>
    <font>
      <b val="true"/>
      <sz val="9"/>
      <color rgb="FF000000"/>
      <name val="Arial"/>
      <family val="0"/>
      <charset val="1"/>
    </font>
    <font>
      <b val="true"/>
      <sz val="12"/>
      <color rgb="FF000000"/>
      <name val="Arial"/>
      <family val="0"/>
      <charset val="1"/>
    </font>
    <font>
      <b val="true"/>
      <sz val="12"/>
      <color rgb="FFC00000"/>
      <name val="Arial"/>
      <family val="0"/>
      <charset val="1"/>
    </font>
    <font>
      <i val="true"/>
      <sz val="9"/>
      <color rgb="FF000000"/>
      <name val="Arial"/>
      <family val="0"/>
      <charset val="1"/>
    </font>
    <font>
      <b val="true"/>
      <sz val="9"/>
      <color rgb="FF1F3864"/>
      <name val="Arial"/>
      <family val="0"/>
      <charset val="1"/>
    </font>
    <font>
      <i val="true"/>
      <sz val="9"/>
      <color rgb="FFFFFFFF"/>
      <name val="Arial"/>
      <family val="0"/>
      <charset val="1"/>
    </font>
    <font>
      <b val="true"/>
      <sz val="9"/>
      <color rgb="FFC00000"/>
      <name val="Arial"/>
      <family val="0"/>
      <charset val="1"/>
    </font>
    <font>
      <sz val="9"/>
      <color rgb="FF808080"/>
      <name val="Arial"/>
      <family val="0"/>
      <charset val="1"/>
    </font>
    <font>
      <b val="true"/>
      <sz val="14"/>
      <color rgb="FF1F3864"/>
      <name val="Arial"/>
      <family val="0"/>
      <charset val="1"/>
    </font>
    <font>
      <sz val="9"/>
      <color rgb="FF0000FF"/>
      <name val="Arial"/>
      <family val="0"/>
      <charset val="1"/>
    </font>
    <font>
      <sz val="10"/>
      <color rgb="FF0000FF"/>
      <name val="Arial"/>
      <family val="0"/>
      <charset val="1"/>
    </font>
    <font>
      <sz val="9"/>
      <color rgb="FF000000"/>
      <name val="Arial"/>
      <family val="0"/>
      <charset val="1"/>
    </font>
    <font>
      <i val="true"/>
      <sz val="9"/>
      <color rgb="FFC00000"/>
      <name val="Arial"/>
      <family val="0"/>
      <charset val="1"/>
    </font>
    <font>
      <b val="true"/>
      <sz val="12"/>
      <color rgb="FF1F3864"/>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D9E2F3"/>
        <bgColor rgb="FFE2EFDA"/>
      </patternFill>
    </fill>
    <fill>
      <patternFill patternType="solid">
        <fgColor rgb="FFE2EFDA"/>
        <bgColor rgb="FFF2F2F2"/>
      </patternFill>
    </fill>
    <fill>
      <patternFill patternType="solid">
        <fgColor rgb="FFFFF2CC"/>
        <bgColor rgb="FFFCE4D6"/>
      </patternFill>
    </fill>
    <fill>
      <patternFill patternType="solid">
        <fgColor rgb="FFFCE4D6"/>
        <bgColor rgb="FFFFF2CC"/>
      </patternFill>
    </fill>
    <fill>
      <patternFill patternType="solid">
        <fgColor rgb="FFF2F2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left"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general" vertical="bottom" textRotation="0" wrapText="false" indent="0" shrinkToFit="false"/>
      <protection locked="true" hidden="false"/>
    </xf>
    <xf numFmtId="165" fontId="12" fillId="4" borderId="0" xfId="0" applyFont="true" applyBorder="false" applyAlignment="true" applyProtection="false">
      <alignment horizontal="left"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5" fontId="8" fillId="4" borderId="0" xfId="0" applyFont="true" applyBorder="false" applyAlignment="true" applyProtection="false">
      <alignment horizontal="left" vertical="bottom" textRotation="0" wrapText="false" indent="0" shrinkToFit="false"/>
      <protection locked="true" hidden="false"/>
    </xf>
    <xf numFmtId="165"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xf numFmtId="164" fontId="15" fillId="0" borderId="0" xfId="0" applyFont="true" applyBorder="false" applyAlignment="true" applyProtection="false">
      <alignment horizontal="left" vertical="bottom" textRotation="0" wrapText="false" indent="0" shrinkToFit="false"/>
      <protection locked="true" hidden="false"/>
    </xf>
    <xf numFmtId="164" fontId="16" fillId="0" borderId="0" xfId="0" applyFont="true" applyBorder="fals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4" fontId="22" fillId="5" borderId="1" xfId="0" applyFont="true" applyBorder="true" applyAlignment="true" applyProtection="false">
      <alignment horizontal="left" vertical="bottom" textRotation="0" wrapText="false" indent="0" shrinkToFit="false"/>
      <protection locked="true" hidden="false"/>
    </xf>
    <xf numFmtId="164" fontId="6" fillId="3" borderId="1" xfId="0" applyFont="true" applyBorder="true" applyAlignment="true" applyProtection="false">
      <alignment horizontal="general" vertical="bottom" textRotation="0" wrapText="false" indent="0" shrinkToFit="false"/>
      <protection locked="true" hidden="false"/>
    </xf>
    <xf numFmtId="164" fontId="23"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7" fontId="24" fillId="4" borderId="1" xfId="0" applyFont="true" applyBorder="true" applyAlignment="true" applyProtection="false">
      <alignment horizontal="general" vertical="bottom" textRotation="0" wrapText="false" indent="0" shrinkToFit="false"/>
      <protection locked="true" hidden="false"/>
    </xf>
    <xf numFmtId="168" fontId="24" fillId="4" borderId="1" xfId="0" applyFont="true" applyBorder="true" applyAlignment="true" applyProtection="false">
      <alignment horizontal="general" vertical="bottom" textRotation="0" wrapText="false" indent="0" shrinkToFit="false"/>
      <protection locked="true" hidden="false"/>
    </xf>
    <xf numFmtId="164" fontId="24" fillId="4"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7" fontId="7" fillId="4" borderId="1" xfId="0" applyFont="true" applyBorder="true" applyAlignment="tru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bottom" textRotation="0" wrapText="false" indent="0" shrinkToFit="false"/>
      <protection locked="true" hidden="false"/>
    </xf>
    <xf numFmtId="164" fontId="14" fillId="4" borderId="1" xfId="0" applyFont="true" applyBorder="true" applyAlignment="true" applyProtection="false">
      <alignment horizontal="general" vertical="bottom" textRotation="0" wrapText="false" indent="0" shrinkToFit="false"/>
      <protection locked="true" hidden="false"/>
    </xf>
    <xf numFmtId="165" fontId="7" fillId="4" borderId="1"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5" fontId="26" fillId="4" borderId="1" xfId="0" applyFont="true" applyBorder="true" applyAlignment="true" applyProtection="false">
      <alignment horizontal="general" vertical="bottom" textRotation="0" wrapText="false" indent="0" shrinkToFit="false"/>
      <protection locked="true" hidden="false"/>
    </xf>
    <xf numFmtId="165" fontId="8" fillId="4" borderId="1" xfId="0" applyFont="true" applyBorder="true" applyAlignment="true" applyProtection="false">
      <alignment horizontal="general" vertical="bottom" textRotation="0" wrapText="false" indent="0" shrinkToFit="false"/>
      <protection locked="true" hidden="false"/>
    </xf>
    <xf numFmtId="164" fontId="6" fillId="5" borderId="0" xfId="0" applyFont="true" applyBorder="true" applyAlignment="true" applyProtection="false">
      <alignment horizontal="general" vertical="center" textRotation="0" wrapText="tru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5" fontId="29" fillId="4" borderId="1" xfId="0" applyFont="true" applyBorder="tru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1" fillId="3" borderId="0" xfId="0" applyFont="true" applyBorder="false" applyAlignment="true" applyProtection="false">
      <alignment horizontal="center" vertical="bottom" textRotation="0" wrapText="true" indent="0" shrinkToFit="false"/>
      <protection locked="true" hidden="false"/>
    </xf>
    <xf numFmtId="167" fontId="22" fillId="5" borderId="1" xfId="0" applyFont="true" applyBorder="tru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6" fontId="22" fillId="5" borderId="1" xfId="0" applyFont="true" applyBorder="true" applyAlignment="true" applyProtection="false">
      <alignment horizontal="left" vertical="bottom" textRotation="0" wrapText="false" indent="0" shrinkToFit="false"/>
      <protection locked="true" hidden="false"/>
    </xf>
    <xf numFmtId="167" fontId="6" fillId="4" borderId="1" xfId="0" applyFont="true" applyBorder="true" applyAlignment="true" applyProtection="false">
      <alignment horizontal="general" vertical="bottom" textRotation="0" wrapText="false" indent="0" shrinkToFit="false"/>
      <protection locked="true" hidden="false"/>
    </xf>
    <xf numFmtId="168" fontId="22" fillId="5" borderId="1" xfId="0" applyFont="true" applyBorder="true" applyAlignment="true" applyProtection="false">
      <alignment horizontal="left" vertical="bottom" textRotation="0" wrapText="fals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7" fontId="14" fillId="4" borderId="1" xfId="0" applyFont="true" applyBorder="true" applyAlignment="true" applyProtection="false">
      <alignment horizontal="general" vertical="bottom" textRotation="0" wrapText="false" indent="0" shrinkToFit="false"/>
      <protection locked="true" hidden="false"/>
    </xf>
    <xf numFmtId="165" fontId="22" fillId="5" borderId="1" xfId="0" applyFont="true" applyBorder="true" applyAlignment="true" applyProtection="false">
      <alignment horizontal="left" vertical="bottom" textRotation="0" wrapText="false" indent="0" shrinkToFit="false"/>
      <protection locked="true" hidden="false"/>
    </xf>
    <xf numFmtId="169" fontId="7" fillId="4" borderId="1" xfId="0" applyFont="true" applyBorder="true" applyAlignment="true" applyProtection="false">
      <alignment horizontal="general" vertical="bottom" textRotation="0" wrapText="false" indent="0" shrinkToFit="false"/>
      <protection locked="true" hidden="false"/>
    </xf>
    <xf numFmtId="169" fontId="14" fillId="4" borderId="1" xfId="0" applyFont="true" applyBorder="true" applyAlignment="true" applyProtection="false">
      <alignment horizontal="general" vertical="bottom" textRotation="0" wrapText="false" indent="0" shrinkToFit="false"/>
      <protection locked="true" hidden="false"/>
    </xf>
    <xf numFmtId="165" fontId="14" fillId="4" borderId="1" xfId="0" applyFont="true" applyBorder="tru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center" textRotation="0" wrapText="true" indent="0" shrinkToFit="false"/>
      <protection locked="true" hidden="false"/>
    </xf>
    <xf numFmtId="164" fontId="16" fillId="5" borderId="0" xfId="0" applyFont="true" applyBorder="true" applyAlignment="true" applyProtection="false">
      <alignment horizontal="general" vertical="center" textRotation="0" wrapText="true" indent="0" shrinkToFit="false"/>
      <protection locked="true" hidden="false"/>
    </xf>
    <xf numFmtId="164" fontId="32" fillId="2" borderId="0" xfId="0" applyFont="true" applyBorder="false" applyAlignment="tru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7" fontId="34" fillId="0" borderId="0" xfId="0" applyFont="true" applyBorder="false" applyAlignment="true" applyProtection="false">
      <alignment horizontal="general" vertical="bottom" textRotation="0" wrapText="false" indent="0" shrinkToFit="false"/>
      <protection locked="true" hidden="false"/>
    </xf>
    <xf numFmtId="170" fontId="34" fillId="0" borderId="0" xfId="0" applyFont="true" applyBorder="false" applyAlignment="true" applyProtection="false">
      <alignment horizontal="general" vertical="bottom" textRotation="0" wrapText="false" indent="0" shrinkToFit="false"/>
      <protection locked="true" hidden="false"/>
    </xf>
    <xf numFmtId="171" fontId="34" fillId="0" borderId="0" xfId="0" applyFont="true" applyBorder="false" applyAlignment="true" applyProtection="false">
      <alignment horizontal="general" vertical="bottom" textRotation="0" wrapText="false" indent="0" shrinkToFit="false"/>
      <protection locked="true" hidden="false"/>
    </xf>
    <xf numFmtId="172" fontId="34" fillId="0" borderId="0" xfId="0" applyFont="true" applyBorder="false" applyAlignment="true" applyProtection="false">
      <alignment horizontal="general" vertical="bottom" textRotation="0" wrapText="false" indent="0" shrinkToFit="false"/>
      <protection locked="true" hidden="false"/>
    </xf>
    <xf numFmtId="165" fontId="34" fillId="0" borderId="0" xfId="0" applyFont="true" applyBorder="false" applyAlignment="true" applyProtection="false">
      <alignment horizontal="general" vertical="bottom" textRotation="0" wrapText="false" indent="0" shrinkToFit="false"/>
      <protection locked="true" hidden="false"/>
    </xf>
    <xf numFmtId="168" fontId="34" fillId="0" borderId="0" xfId="0" applyFont="true" applyBorder="false" applyAlignment="true" applyProtection="false">
      <alignment horizontal="general" vertical="bottom" textRotation="0" wrapText="false" indent="0" shrinkToFit="false"/>
      <protection locked="true" hidden="false"/>
    </xf>
    <xf numFmtId="168" fontId="7" fillId="4" borderId="1" xfId="0" applyFont="true" applyBorder="true" applyAlignment="true" applyProtection="false">
      <alignment horizontal="general" vertical="bottom" textRotation="0" wrapText="false" indent="0" shrinkToFit="false"/>
      <protection locked="true" hidden="false"/>
    </xf>
    <xf numFmtId="168" fontId="6" fillId="4" borderId="1" xfId="0" applyFont="true" applyBorder="true" applyAlignment="true" applyProtection="false">
      <alignment horizontal="general" vertical="bottom" textRotation="0" wrapText="false" indent="0" shrinkToFit="false"/>
      <protection locked="true" hidden="false"/>
    </xf>
    <xf numFmtId="167" fontId="16" fillId="4" borderId="1" xfId="0" applyFont="true" applyBorder="true" applyAlignment="true" applyProtection="false">
      <alignment horizontal="general" vertical="bottom" textRotation="0" wrapText="false" indent="0" shrinkToFit="false"/>
      <protection locked="true" hidden="false"/>
    </xf>
    <xf numFmtId="166" fontId="7" fillId="4" borderId="1" xfId="0" applyFont="true" applyBorder="true" applyAlignment="true" applyProtection="false">
      <alignment horizontal="general" vertical="bottom" textRotation="0" wrapText="false" indent="0" shrinkToFit="false"/>
      <protection locked="true" hidden="false"/>
    </xf>
    <xf numFmtId="169" fontId="29" fillId="4" borderId="1" xfId="0" applyFont="true" applyBorder="true" applyAlignment="true" applyProtection="false">
      <alignment horizontal="general" vertical="bottom" textRotation="0" wrapText="false" indent="0" shrinkToFit="false"/>
      <protection locked="true" hidden="false"/>
    </xf>
    <xf numFmtId="173" fontId="7" fillId="4" borderId="1" xfId="0" applyFont="true" applyBorder="tru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xf numFmtId="164" fontId="23" fillId="0" borderId="1" xfId="0" applyFont="true" applyBorder="true" applyAlignment="true" applyProtection="false">
      <alignment horizontal="center" vertical="bottom" textRotation="0" wrapText="false" indent="0" shrinkToFit="false"/>
      <protection locked="true" hidden="false"/>
    </xf>
    <xf numFmtId="167" fontId="23" fillId="0" borderId="1" xfId="0" applyFont="true" applyBorder="true" applyAlignment="true" applyProtection="false">
      <alignment horizontal="center" vertical="bottom" textRotation="0" wrapText="false" indent="0" shrinkToFit="false"/>
      <protection locked="true" hidden="false"/>
    </xf>
    <xf numFmtId="169" fontId="23" fillId="0" borderId="1" xfId="0" applyFont="true" applyBorder="true" applyAlignment="true" applyProtection="false">
      <alignment horizontal="center" vertical="bottom" textRotation="0" wrapText="false" indent="0" shrinkToFit="false"/>
      <protection locked="true" hidden="false"/>
    </xf>
    <xf numFmtId="169" fontId="13" fillId="0" borderId="1" xfId="0" applyFont="true" applyBorder="true" applyAlignment="true" applyProtection="false">
      <alignment horizontal="center" vertical="bottom" textRotation="0" wrapText="false" indent="0" shrinkToFit="false"/>
      <protection locked="true" hidden="false"/>
    </xf>
    <xf numFmtId="165" fontId="23" fillId="0" borderId="1" xfId="0" applyFont="true" applyBorder="true" applyAlignment="true" applyProtection="false">
      <alignment horizontal="center" vertical="bottom" textRotation="0" wrapText="false" indent="0" shrinkToFit="false"/>
      <protection locked="true" hidden="false"/>
    </xf>
    <xf numFmtId="165" fontId="13" fillId="4" borderId="1" xfId="0" applyFont="true" applyBorder="true" applyAlignment="true" applyProtection="false">
      <alignment horizontal="center" vertical="bottom" textRotation="0" wrapText="false" indent="0" shrinkToFit="false"/>
      <protection locked="true" hidden="false"/>
    </xf>
    <xf numFmtId="164" fontId="15" fillId="5" borderId="0" xfId="0" applyFont="true" applyBorder="true" applyAlignment="true" applyProtection="false">
      <alignment horizontal="general" vertical="center" textRotation="0" wrapText="true" indent="0" shrinkToFit="false"/>
      <protection locked="true" hidden="false"/>
    </xf>
    <xf numFmtId="164" fontId="30" fillId="0" borderId="0" xfId="0" applyFont="true" applyBorder="true" applyAlignment="true" applyProtection="false">
      <alignment horizontal="general" vertical="top" textRotation="0" wrapText="true" indent="0" shrinkToFit="false"/>
      <protection locked="true" hidden="false"/>
    </xf>
    <xf numFmtId="165" fontId="23" fillId="4" borderId="1" xfId="0" applyFont="true" applyBorder="true" applyAlignment="true" applyProtection="false">
      <alignment horizontal="center" vertical="bottom" textRotation="0" wrapText="fals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7" fontId="23" fillId="7" borderId="1" xfId="0" applyFont="true" applyBorder="true" applyAlignment="true" applyProtection="false">
      <alignment horizontal="general" vertical="center" textRotation="0" wrapText="false" indent="0" shrinkToFit="false"/>
      <protection locked="true" hidden="false"/>
    </xf>
    <xf numFmtId="164" fontId="23" fillId="7" borderId="1" xfId="0" applyFont="true" applyBorder="true" applyAlignment="true" applyProtection="false">
      <alignment horizontal="general" vertical="center" textRotation="0" wrapText="true" indent="0" shrinkToFit="false"/>
      <protection locked="true" hidden="false"/>
    </xf>
    <xf numFmtId="164" fontId="23" fillId="7" borderId="1" xfId="0" applyFont="true" applyBorder="true" applyAlignment="true" applyProtection="false">
      <alignment horizontal="general" vertical="center" textRotation="0" wrapText="false" indent="0" shrinkToFit="false"/>
      <protection locked="true" hidden="false"/>
    </xf>
    <xf numFmtId="173" fontId="23" fillId="7" borderId="1" xfId="0" applyFont="true" applyBorder="true" applyAlignment="true" applyProtection="false">
      <alignment horizontal="general" vertical="center" textRotation="0" wrapText="false" indent="0" shrinkToFit="false"/>
      <protection locked="true" hidden="false"/>
    </xf>
    <xf numFmtId="165" fontId="23" fillId="7" borderId="1" xfId="0" applyFont="true" applyBorder="true" applyAlignment="true" applyProtection="false">
      <alignment horizontal="general" vertical="center" textRotation="0" wrapText="false" indent="0" shrinkToFit="false"/>
      <protection locked="true" hidden="false"/>
    </xf>
    <xf numFmtId="173" fontId="17" fillId="0" borderId="1" xfId="0" applyFont="true" applyBorder="true" applyAlignment="true" applyProtection="false">
      <alignment horizontal="general" vertical="bottom" textRotation="0" wrapText="false" indent="0" shrinkToFit="false"/>
      <protection locked="true" hidden="false"/>
    </xf>
    <xf numFmtId="174" fontId="17" fillId="0" borderId="1" xfId="0" applyFont="true" applyBorder="true" applyAlignment="true" applyProtection="false">
      <alignment horizontal="general" vertical="bottom" textRotation="0" wrapText="false" indent="0" shrinkToFit="false"/>
      <protection locked="true" hidden="false"/>
    </xf>
    <xf numFmtId="170" fontId="17" fillId="0" borderId="1" xfId="0" applyFont="true" applyBorder="true" applyAlignment="true" applyProtection="false">
      <alignment horizontal="general" vertical="bottom" textRotation="0" wrapText="false" indent="0" shrinkToFit="false"/>
      <protection locked="true" hidden="false"/>
    </xf>
    <xf numFmtId="167" fontId="36" fillId="0" borderId="1" xfId="0" applyFont="true" applyBorder="true" applyAlignment="true" applyProtection="false">
      <alignment horizontal="general" vertical="bottom" textRotation="0" wrapText="false" indent="0" shrinkToFit="false"/>
      <protection locked="true" hidden="false"/>
    </xf>
    <xf numFmtId="167" fontId="17" fillId="0" borderId="1" xfId="0" applyFont="true" applyBorder="true" applyAlignment="true" applyProtection="false">
      <alignment horizontal="general" vertical="bottom" textRotation="0" wrapText="false" indent="0" shrinkToFit="false"/>
      <protection locked="true" hidden="false"/>
    </xf>
    <xf numFmtId="167" fontId="23" fillId="0" borderId="1" xfId="0" applyFont="true" applyBorder="true" applyAlignment="true" applyProtection="false">
      <alignment horizontal="general" vertical="center" textRotation="0" wrapText="false" indent="0" shrinkToFit="false"/>
      <protection locked="true" hidden="false"/>
    </xf>
    <xf numFmtId="164" fontId="23" fillId="0" borderId="1" xfId="0" applyFont="true" applyBorder="true" applyAlignment="true" applyProtection="false">
      <alignment horizontal="general" vertical="center" textRotation="0" wrapText="true" indent="0" shrinkToFit="false"/>
      <protection locked="true" hidden="false"/>
    </xf>
    <xf numFmtId="164" fontId="23" fillId="0" borderId="1" xfId="0" applyFont="true" applyBorder="true" applyAlignment="true" applyProtection="false">
      <alignment horizontal="general" vertical="center" textRotation="0" wrapText="false" indent="0" shrinkToFit="false"/>
      <protection locked="true" hidden="false"/>
    </xf>
    <xf numFmtId="173" fontId="23" fillId="0" borderId="1" xfId="0" applyFont="true" applyBorder="true" applyAlignment="true" applyProtection="false">
      <alignment horizontal="general" vertical="center" textRotation="0" wrapText="false" indent="0" shrinkToFit="false"/>
      <protection locked="true" hidden="false"/>
    </xf>
    <xf numFmtId="165" fontId="23" fillId="0" borderId="1" xfId="0" applyFont="true" applyBorder="true" applyAlignment="true" applyProtection="false">
      <alignment horizontal="general" vertical="center" textRotation="0" wrapText="false" indent="0" shrinkToFit="false"/>
      <protection locked="true" hidden="false"/>
    </xf>
    <xf numFmtId="173" fontId="37" fillId="7" borderId="1" xfId="0" applyFont="true" applyBorder="true" applyAlignment="true" applyProtection="false">
      <alignment horizontal="general" vertical="center" textRotation="0" wrapText="false" indent="0" shrinkToFit="false"/>
      <protection locked="true" hidden="false"/>
    </xf>
    <xf numFmtId="167" fontId="23" fillId="7" borderId="1" xfId="0" applyFont="true" applyBorder="true" applyAlignment="true" applyProtection="false">
      <alignment horizontal="general" vertical="bottom" textRotation="0" wrapText="false" indent="0" shrinkToFit="false"/>
      <protection locked="true" hidden="false"/>
    </xf>
    <xf numFmtId="164" fontId="23" fillId="7" borderId="1" xfId="0" applyFont="true" applyBorder="true" applyAlignment="true" applyProtection="false">
      <alignment horizontal="general" vertical="bottom" textRotation="0" wrapText="false" indent="0" shrinkToFit="false"/>
      <protection locked="true" hidden="false"/>
    </xf>
    <xf numFmtId="167" fontId="23" fillId="0" borderId="1" xfId="0" applyFont="true" applyBorder="tru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72" fontId="37" fillId="0" borderId="1" xfId="0" applyFont="true" applyBorder="true" applyAlignment="true" applyProtection="false">
      <alignment horizontal="general" vertical="bottom" textRotation="0" wrapText="false" indent="0" shrinkToFit="false"/>
      <protection locked="true" hidden="false"/>
    </xf>
    <xf numFmtId="167" fontId="37" fillId="0" borderId="1" xfId="0" applyFont="true" applyBorder="true" applyAlignment="true" applyProtection="false">
      <alignment horizontal="general" vertical="bottom" textRotation="0" wrapText="false" indent="0" shrinkToFit="false"/>
      <protection locked="true" hidden="false"/>
    </xf>
    <xf numFmtId="171" fontId="37" fillId="0" borderId="1" xfId="0" applyFont="true" applyBorder="true" applyAlignment="true" applyProtection="false">
      <alignment horizontal="general" vertical="bottom" textRotation="0" wrapText="false" indent="0" shrinkToFit="false"/>
      <protection locked="true" hidden="false"/>
    </xf>
    <xf numFmtId="175" fontId="37" fillId="0" borderId="1" xfId="0" applyFont="true" applyBorder="true" applyAlignment="true" applyProtection="false">
      <alignment horizontal="general" vertical="bottom" textRotation="0" wrapText="false" indent="0" shrinkToFit="false"/>
      <protection locked="true" hidden="false"/>
    </xf>
    <xf numFmtId="166" fontId="37" fillId="0" borderId="1" xfId="0" applyFont="true" applyBorder="true" applyAlignment="true" applyProtection="false">
      <alignment horizontal="general" vertical="bottom" textRotation="0" wrapText="false" indent="0" shrinkToFit="false"/>
      <protection locked="true" hidden="false"/>
    </xf>
    <xf numFmtId="176" fontId="37" fillId="0" borderId="1"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5" fontId="24" fillId="0" borderId="1" xfId="0" applyFont="true" applyBorder="true" applyAlignment="true" applyProtection="false">
      <alignment horizontal="general" vertical="bottom" textRotation="0" wrapText="false" indent="0" shrinkToFit="false"/>
      <protection locked="true" hidden="false"/>
    </xf>
    <xf numFmtId="168" fontId="37" fillId="0" borderId="1" xfId="0" applyFont="true" applyBorder="true" applyAlignment="true" applyProtection="false">
      <alignment horizontal="general" vertical="bottom" textRotation="0" wrapText="false" indent="0" shrinkToFit="false"/>
      <protection locked="true" hidden="false"/>
    </xf>
    <xf numFmtId="164" fontId="37" fillId="0"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38" fillId="0" borderId="1" xfId="0" applyFont="true" applyBorder="true" applyAlignment="true" applyProtection="false">
      <alignment horizontal="general" vertical="center" textRotation="0" wrapText="false" indent="0" shrinkToFit="false"/>
      <protection locked="true" hidden="false"/>
    </xf>
    <xf numFmtId="169" fontId="36" fillId="0" borderId="1" xfId="0" applyFont="true" applyBorder="true" applyAlignment="true" applyProtection="false">
      <alignment horizontal="general" vertical="center" textRotation="0" wrapText="false" indent="0" shrinkToFit="false"/>
      <protection locked="true" hidden="false"/>
    </xf>
    <xf numFmtId="164" fontId="38" fillId="0" borderId="1" xfId="0" applyFont="true" applyBorder="true" applyAlignment="true" applyProtection="false">
      <alignment horizontal="general" vertical="center" textRotation="0" wrapText="true" indent="0" shrinkToFit="false"/>
      <protection locked="true" hidden="false"/>
    </xf>
    <xf numFmtId="165" fontId="17" fillId="0" borderId="1" xfId="0" applyFont="true" applyBorder="true" applyAlignment="true" applyProtection="false">
      <alignment horizontal="general" vertical="bottom" textRotation="0" wrapText="false" indent="0" shrinkToFit="false"/>
      <protection locked="true" hidden="false"/>
    </xf>
    <xf numFmtId="177" fontId="17" fillId="0" borderId="1" xfId="0" applyFont="true" applyBorder="true" applyAlignment="true" applyProtection="false">
      <alignment horizontal="general" vertical="bottom" textRotation="0" wrapText="false" indent="0" shrinkToFit="false"/>
      <protection locked="true" hidden="false"/>
    </xf>
    <xf numFmtId="164" fontId="39" fillId="0" borderId="0" xfId="0" applyFont="true" applyBorder="true" applyAlignment="true" applyProtection="false">
      <alignment horizontal="general" vertical="top" textRotation="0" wrapText="tru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17" fillId="7"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34"/>
    <col collapsed="false" customWidth="true" hidden="false" outlineLevel="0" max="3" min="3" style="1" width="30"/>
    <col collapsed="false" customWidth="true" hidden="false" outlineLevel="0" max="4" min="4" style="1" width="12"/>
  </cols>
  <sheetData>
    <row r="1" customFormat="false" ht="18" hidden="false" customHeight="true" outlineLevel="0" collapsed="false">
      <c r="A1" s="2" t="s">
        <v>0</v>
      </c>
      <c r="B1" s="3"/>
      <c r="C1" s="3"/>
      <c r="D1" s="3"/>
    </row>
    <row r="2" customFormat="false" ht="15" hidden="false" customHeight="true" outlineLevel="0" collapsed="false">
      <c r="A2" s="4" t="str">
        <f aca="false">"Prepared from published US list prices, August 2026.   Model: "&amp;Simple_Calc!$B$6&amp;"   |   Cloud: "&amp;Calculator!$B$37</f>
        <v>Prepared from published US list prices, August 2026.   Model: Large  -  top-tier assistant, complex reasoning and long documents   |   Cloud: Microsoft Azure</v>
      </c>
      <c r="B2" s="4"/>
      <c r="C2" s="4"/>
      <c r="D2" s="4"/>
    </row>
    <row r="4" customFormat="false" ht="15" hidden="false" customHeight="true" outlineLevel="0" collapsed="false">
      <c r="A4" s="5" t="s">
        <v>1</v>
      </c>
      <c r="B4" s="5"/>
      <c r="C4" s="5"/>
      <c r="D4" s="5"/>
    </row>
    <row r="5" customFormat="false" ht="15" hidden="false" customHeight="true" outlineLevel="0" collapsed="false">
      <c r="A5" s="6" t="s">
        <v>2</v>
      </c>
      <c r="B5" s="7" t="str">
        <f aca="false">Simple_Calc!$B$6</f>
        <v>Large  -  top-tier assistant, complex reasoning and long documents</v>
      </c>
    </row>
    <row r="6" customFormat="false" ht="15" hidden="false" customHeight="true" outlineLevel="0" collapsed="false">
      <c r="A6" s="6" t="s">
        <v>3</v>
      </c>
      <c r="B6" s="7" t="str">
        <f aca="false">TEXT(Calculator!$D$6,"#,##0")&amp;" billion parameters at "&amp;Calculator!$D$7</f>
        <v>70 billion parameters at FP8 / INT8 - balanced</v>
      </c>
    </row>
    <row r="7" customFormat="false" ht="15" hidden="false" customHeight="true" outlineLevel="0" collapsed="false">
      <c r="A7" s="6" t="s">
        <v>4</v>
      </c>
      <c r="B7" s="7" t="str">
        <f aca="false">IF(Inference!$B$6=Rates!$I$46,"Not specified - sized on memory only",TEXT(Inference!$B$7,"#,##0")&amp;" requests/month  ("&amp;TEXT(Inference!$B$8,"#,##0")&amp;" in / "&amp;TEXT(Inference!$B$9,"#,##0")&amp;" out tokens each)")</f>
        <v>500,000 requests/month  (800 in / 400 out tokens each)</v>
      </c>
    </row>
    <row r="8" customFormat="false" ht="15" hidden="false" customHeight="true" outlineLevel="0" collapsed="false">
      <c r="A8" s="6" t="s">
        <v>5</v>
      </c>
      <c r="B8" s="7" t="str">
        <f aca="false">TEXT(Calculator!$D$17,"#,##0")&amp;" hours/day over "&amp;TEXT(Calculator!$D$18,"#,##0.0")&amp;" days/month  =  "&amp;TEXT(Calculator!$B$45,"#,##0")&amp;" billed hours"</f>
        <v>24 hours/day over 30.4 days/month  =  730 billed hours</v>
      </c>
    </row>
    <row r="9" customFormat="false" ht="15" hidden="false" customHeight="true" outlineLevel="0" collapsed="false">
      <c r="A9" s="6" t="s">
        <v>6</v>
      </c>
      <c r="B9" s="7" t="str">
        <f aca="false">Calculator!$B$14&amp;"   |   "&amp;Calculator!$D$16</f>
        <v>US (baseline)   |   On-demand (pay as you go)</v>
      </c>
    </row>
    <row r="11" customFormat="false" ht="15" hidden="false" customHeight="true" outlineLevel="0" collapsed="false">
      <c r="A11" s="5" t="s">
        <v>7</v>
      </c>
      <c r="B11" s="5"/>
      <c r="C11" s="5"/>
      <c r="D11" s="5"/>
    </row>
    <row r="12" customFormat="false" ht="15" hidden="false" customHeight="true" outlineLevel="0" collapsed="false">
      <c r="A12" s="8" t="s">
        <v>8</v>
      </c>
      <c r="B12" s="9" t="str">
        <f aca="false">Calculator!$B$37</f>
        <v>Microsoft Azure</v>
      </c>
    </row>
    <row r="13" customFormat="false" ht="15" hidden="false" customHeight="true" outlineLevel="0" collapsed="false">
      <c r="A13" s="8" t="s">
        <v>9</v>
      </c>
      <c r="B13" s="9" t="str">
        <f aca="false">Calculator!$B$36</f>
        <v>Standard_NC40ads_H100_v5</v>
      </c>
    </row>
    <row r="14" customFormat="false" ht="15" hidden="false" customHeight="true" outlineLevel="0" collapsed="false">
      <c r="A14" s="6" t="s">
        <v>10</v>
      </c>
      <c r="B14" s="7" t="str">
        <f aca="false">TEXT(Calculator!$B$39,"#,##0")&amp;" x "&amp;Calculator!$B$38&amp;"   ("&amp;TEXT(Calculator!$B$40,"#,##0")&amp;" GB GPU memory per machine)"</f>
        <v>1 x NVIDIA H100 NVL   (94 GB GPU memory per machine)</v>
      </c>
    </row>
    <row r="15" customFormat="false" ht="15" hidden="false" customHeight="true" outlineLevel="0" collapsed="false">
      <c r="A15" s="6" t="s">
        <v>11</v>
      </c>
      <c r="B15" s="7" t="str">
        <f aca="false">TEXT(Calculator!$D$9,"#,##0")</f>
        <v>1</v>
      </c>
      <c r="C15" s="10" t="str">
        <f aca="false">IF(Inference!$B$23&gt;1,"Set by throughput: the peak load needs this many to keep up","One machine covers the load")</f>
        <v>One machine covers the load</v>
      </c>
    </row>
    <row r="16" customFormat="false" ht="15" hidden="false" customHeight="true" outlineLevel="0" collapsed="false">
      <c r="A16" s="6" t="s">
        <v>12</v>
      </c>
      <c r="B16" s="7" t="str">
        <f aca="false">TEXT(Calculator!$B$10,"#,##0")&amp;" GB per copy"</f>
        <v>91 GB per copy</v>
      </c>
      <c r="C16" s="10" t="s">
        <v>13</v>
      </c>
    </row>
    <row r="17" customFormat="false" ht="15" hidden="false" customHeight="true" outlineLevel="0" collapsed="false">
      <c r="A17" s="6" t="s">
        <v>14</v>
      </c>
      <c r="B17" s="7" t="str">
        <f aca="false">"Cheapest option that both fits in memory and meets the peak token rate"</f>
        <v>Cheapest option that both fits in memory and meets the peak token rate</v>
      </c>
    </row>
    <row r="19" customFormat="false" ht="15" hidden="false" customHeight="true" outlineLevel="0" collapsed="false">
      <c r="A19" s="5" t="s">
        <v>15</v>
      </c>
      <c r="B19" s="5"/>
      <c r="C19" s="5" t="s">
        <v>16</v>
      </c>
      <c r="D19" s="5"/>
    </row>
    <row r="20" customFormat="false" ht="15" hidden="false" customHeight="true" outlineLevel="0" collapsed="false">
      <c r="A20" s="6" t="s">
        <v>17</v>
      </c>
      <c r="B20" s="11" t="n">
        <f aca="false">Calculator!$B$48</f>
        <v>5095.9584</v>
      </c>
      <c r="C20" s="12" t="n">
        <f aca="false">IFERROR(B20/$B$25,0)</f>
        <v>0.415597684586576</v>
      </c>
    </row>
    <row r="21" customFormat="false" ht="15" hidden="false" customHeight="true" outlineLevel="0" collapsed="false">
      <c r="A21" s="6" t="s">
        <v>18</v>
      </c>
      <c r="B21" s="11" t="n">
        <f aca="false">Calculator!$B$49</f>
        <v>40.5</v>
      </c>
      <c r="C21" s="12" t="n">
        <f aca="false">IFERROR(B21/$B$25,0)</f>
        <v>0.00330295204642101</v>
      </c>
    </row>
    <row r="22" customFormat="false" ht="15" hidden="false" customHeight="true" outlineLevel="0" collapsed="false">
      <c r="A22" s="6" t="s">
        <v>19</v>
      </c>
      <c r="B22" s="11" t="n">
        <f aca="false">Calculator!$B$50</f>
        <v>165.3</v>
      </c>
      <c r="C22" s="12" t="n">
        <f aca="false">IFERROR(B22/$B$25,0)</f>
        <v>0.0134809376116887</v>
      </c>
    </row>
    <row r="23" customFormat="false" ht="15" hidden="false" customHeight="true" outlineLevel="0" collapsed="false">
      <c r="A23" s="6" t="s">
        <v>20</v>
      </c>
      <c r="B23" s="11" t="n">
        <f aca="false">Calculator!$B$51</f>
        <v>0</v>
      </c>
      <c r="C23" s="12" t="n">
        <f aca="false">IFERROR(B23/$B$25,0)</f>
        <v>0</v>
      </c>
    </row>
    <row r="24" customFormat="false" ht="15" hidden="false" customHeight="true" outlineLevel="0" collapsed="false">
      <c r="A24" s="6" t="s">
        <v>21</v>
      </c>
      <c r="B24" s="11" t="n">
        <f aca="false">Calculator!$B$52</f>
        <v>6960</v>
      </c>
      <c r="C24" s="12" t="n">
        <f aca="false">IFERROR(B24/$B$25,0)</f>
        <v>0.567618425755314</v>
      </c>
    </row>
    <row r="25" customFormat="false" ht="15.75" hidden="false" customHeight="true" outlineLevel="0" collapsed="false">
      <c r="A25" s="13" t="s">
        <v>22</v>
      </c>
      <c r="B25" s="14" t="n">
        <f aca="false">Calculator!$B$53</f>
        <v>12261.7584</v>
      </c>
    </row>
    <row r="26" customFormat="false" ht="15" hidden="false" customHeight="true" outlineLevel="0" collapsed="false">
      <c r="A26" s="15" t="s">
        <v>23</v>
      </c>
      <c r="B26" s="16" t="n">
        <f aca="false">Calculator!$B$54</f>
        <v>147141.1008</v>
      </c>
    </row>
    <row r="28" customFormat="false" ht="15" hidden="false" customHeight="true" outlineLevel="0" collapsed="false">
      <c r="A28" s="5" t="s">
        <v>24</v>
      </c>
      <c r="B28" s="5"/>
      <c r="C28" s="5"/>
      <c r="D28" s="5"/>
    </row>
    <row r="29" customFormat="false" ht="15" hidden="false" customHeight="true" outlineLevel="0" collapsed="false">
      <c r="A29" s="6" t="s">
        <v>25</v>
      </c>
      <c r="B29" s="7" t="str">
        <f aca="false">Comparison!$B$5</f>
        <v>g2-standard-96</v>
      </c>
      <c r="C29" s="17" t="n">
        <f aca="false">Comparison!$B$22</f>
        <v>13083.169264</v>
      </c>
    </row>
    <row r="30" customFormat="false" ht="15" hidden="false" customHeight="true" outlineLevel="0" collapsed="false">
      <c r="A30" s="6" t="s">
        <v>26</v>
      </c>
      <c r="B30" s="7" t="str">
        <f aca="false">Comparison!$C$5</f>
        <v>Standard_NC40ads_H100_v5</v>
      </c>
      <c r="C30" s="17" t="n">
        <f aca="false">Comparison!$C$22</f>
        <v>12261.7584</v>
      </c>
    </row>
    <row r="31" customFormat="false" ht="15" hidden="false" customHeight="true" outlineLevel="0" collapsed="false">
      <c r="A31" s="18" t="s">
        <v>27</v>
      </c>
      <c r="B31" s="19" t="str">
        <f aca="false">Comparison!$B$25</f>
        <v>Microsoft Azure saves about $821 per month (6.3% less)</v>
      </c>
      <c r="C31" s="19"/>
      <c r="D31" s="19"/>
    </row>
    <row r="33" customFormat="false" ht="15" hidden="false" customHeight="true" outlineLevel="0" collapsed="false">
      <c r="A33" s="5" t="s">
        <v>28</v>
      </c>
      <c r="B33" s="5"/>
      <c r="C33" s="5"/>
      <c r="D33" s="5"/>
    </row>
    <row r="34" customFormat="false" ht="15" hidden="false" customHeight="true" outlineLevel="0" collapsed="false">
      <c r="A34" s="6" t="s">
        <v>29</v>
      </c>
      <c r="B34" s="7" t="str">
        <f aca="false">IF(Inference!$B$6=Rates!$I$46,"not sized",TEXT(Inference!$B$22,"#,##0"))</f>
        <v>624</v>
      </c>
      <c r="C34" s="10" t="s">
        <v>30</v>
      </c>
    </row>
    <row r="35" customFormat="false" ht="15" hidden="false" customHeight="true" outlineLevel="0" collapsed="false">
      <c r="A35" s="6" t="s">
        <v>31</v>
      </c>
      <c r="B35" s="7" t="str">
        <f aca="false">IF(Inference!$B$6=Rates!$I$46,"not specified",TEXT(Inference!$B$16,"#,##0"))</f>
        <v>274</v>
      </c>
    </row>
    <row r="36" customFormat="false" ht="15" hidden="false" customHeight="true" outlineLevel="0" collapsed="false">
      <c r="A36" s="6" t="s">
        <v>32</v>
      </c>
      <c r="B36" s="7" t="str">
        <f aca="false">IF(Inference!$B$6=Rates!$I$46,"n/a",TEXT(Inference!$B$26,"0.0%"))</f>
        <v>127.8%</v>
      </c>
    </row>
    <row r="37" customFormat="false" ht="15" hidden="false" customHeight="true" outlineLevel="0" collapsed="false">
      <c r="A37" s="6" t="s">
        <v>33</v>
      </c>
      <c r="B37" s="7" t="str">
        <f aca="false">IF(Inference!$B$6=Rates!$I$46,"n/a",TEXT(Inference!$B$25,"#,##0")&amp;" tokens/sec"&amp;IF(Inference!$B$25&lt;10," - slow"," - acceptable"))</f>
        <v>39 tokens/sec - acceptable</v>
      </c>
    </row>
    <row r="38" customFormat="false" ht="15" hidden="false" customHeight="true" outlineLevel="0" collapsed="false">
      <c r="A38" s="8" t="s">
        <v>34</v>
      </c>
      <c r="B38" s="20" t="str">
        <f aca="false">IF(Inference!$B$6=Rates!$I$46,"n/a - traffic not specified",TEXT(Inference!$B$31,"$#,##0.00"))</f>
        <v>$61.31</v>
      </c>
      <c r="C38" s="10" t="s">
        <v>35</v>
      </c>
    </row>
    <row r="39" customFormat="false" ht="15" hidden="false" customHeight="true" outlineLevel="0" collapsed="false">
      <c r="A39" s="6" t="s">
        <v>36</v>
      </c>
      <c r="B39" s="7" t="str">
        <f aca="false">IF(Inference!$B$6=Rates!$I$46,"n/a",TEXT(Inference!$B$32,"$#,##0.00"))</f>
        <v>$24.52</v>
      </c>
    </row>
    <row r="40" customFormat="false" ht="15" hidden="false" customHeight="true" outlineLevel="0" collapsed="false">
      <c r="A40" s="6" t="s">
        <v>37</v>
      </c>
      <c r="B40" s="7" t="str">
        <f aca="false">IF(Inference!$B$7&lt;=0,"not compared - traffic not specified",Calculator!$B$60&amp;" at $"&amp;TEXT(Calculator!$B$70,"#,##0")&amp;"/month")</f>
        <v>Gemini 3.5 Flash-Lite at $2,940/month</v>
      </c>
      <c r="C40" s="10" t="s">
        <v>38</v>
      </c>
    </row>
    <row r="41" customFormat="false" ht="15" hidden="false" customHeight="true" outlineLevel="0" collapsed="false">
      <c r="A41" s="18" t="s">
        <v>39</v>
      </c>
      <c r="B41" s="21" t="str">
        <f aca="false">IF(Inference!$B$7&lt;=0,"n/a",IF(Calculator!$B$70&lt;Calculator!$B$53,"Pay per token - saves $"&amp;TEXT(Calculator!$B$53-Calculator!$B$70,"#,##0")&amp;"/month","Self-host - saves $"&amp;TEXT(Calculator!$B$70-Calculator!$B$53,"#,##0")&amp;"/month"))</f>
        <v>Pay per token - saves $9,322/month</v>
      </c>
    </row>
    <row r="42" customFormat="false" ht="15" hidden="false" customHeight="true" outlineLevel="0" collapsed="false">
      <c r="A42" s="6" t="s">
        <v>40</v>
      </c>
      <c r="B42" s="7" t="str">
        <f aca="false">Calculator!$B$128&amp;"  -  "&amp;TEXT(Calculator!$B$31,"#,##0")&amp;" engineer hours/month at $"&amp;TEXT(Calculator!$B$33,"#,##0")&amp;"/hour"</f>
        <v>Medium  -  60 engineer hours/month at $116/hour</v>
      </c>
    </row>
    <row r="44" customFormat="false" ht="15" hidden="false" customHeight="true" outlineLevel="0" collapsed="false">
      <c r="A44" s="5" t="s">
        <v>41</v>
      </c>
      <c r="B44" s="5"/>
      <c r="C44" s="5"/>
      <c r="D44" s="5"/>
    </row>
    <row r="45" customFormat="false" ht="21.75" hidden="false" customHeight="true" outlineLevel="0" collapsed="false">
      <c r="A45" s="22" t="str">
        <f aca="false">"Price confidence for the chosen machine: "&amp;IF(Calculator!$B$122=0,"n/a",INDEX(GPU_Price_List!$Q$5:$Q$35,Calculator!$B$121))&amp;IF(Calculator!$B$122=0,"",IF(ISNUMBER(SEARCH("estimate",INDEX(GPU_Price_List!$Q$5:$Q$35,Calculator!$B$121)))," - CONFIRM THIS RATE BEFORE COMMITTING BUDGET",""))</f>
        <v>Price confidence for the chosen machine: Published list price</v>
      </c>
      <c r="B45" s="22"/>
      <c r="C45" s="22"/>
      <c r="D45" s="22"/>
    </row>
    <row r="46" customFormat="false" ht="21.75" hidden="false" customHeight="true" outlineLevel="0" collapsed="false">
      <c r="A46" s="22" t="str">
        <f aca="false">"Throughput assumes a batching gain of "&amp;TEXT(Rates!$B$108,"#,##0")&amp;"x from a modern serving stack. A naive setup would need several times more machines."</f>
        <v>Throughput assumes a batching gain of 16x from a modern serving stack. A naive setup would need several times more machines.</v>
      </c>
      <c r="B46" s="22"/>
      <c r="C46" s="22"/>
      <c r="D46" s="22"/>
    </row>
    <row r="47" customFormat="false" ht="21.75" hidden="false" customHeight="true" outlineLevel="0" collapsed="false">
      <c r="A47" s="22" t="str">
        <f aca="false">"Machines are sized for peak traffic ("&amp;TEXT(Inference!$B$10,"#,##0.0")&amp;"x average), so spare capacity sits idle most of the month."</f>
        <v>Machines are sized for peak traffic (3.0x average), so spare capacity sits idle most of the month.</v>
      </c>
      <c r="B47" s="22"/>
      <c r="C47" s="22"/>
      <c r="D47" s="22"/>
    </row>
    <row r="48" customFormat="false" ht="21.75" hidden="false" customHeight="true" outlineLevel="0" collapsed="false">
      <c r="A48" s="22" t="str">
        <f aca="false">"Idle time is billed in full. Reducing the "&amp;TEXT(Calculator!$D$17,"#,##0")&amp;" hours/day is usually the single largest saving available."</f>
        <v>Idle time is billed in full. Reducing the 24 hours/day is usually the single largest saving available.</v>
      </c>
      <c r="B48" s="22"/>
      <c r="C48" s="22"/>
      <c r="D48" s="22"/>
    </row>
    <row r="49" customFormat="false" ht="21.75" hidden="false" customHeight="true" outlineLevel="0" collapsed="false">
      <c r="A49" s="22" t="str">
        <f aca="false">"Excluded: load balancers, monitoring, backups, cloud support plans, one-off setup work, taxes, and any negotiated discount your organisation already holds."</f>
        <v>Excluded: load balancers, monitoring, backups, cloud support plans, one-off setup work, taxes, and any negotiated discount your organisation already holds.</v>
      </c>
      <c r="B49" s="22"/>
      <c r="C49" s="22"/>
      <c r="D49" s="22"/>
    </row>
    <row r="50" customFormat="false" ht="21.75" hidden="false" customHeight="true" outlineLevel="0" collapsed="false">
      <c r="A50" s="22" t="str">
        <f aca="false">"GPU quota starts at zero on both clouds. Approval to launch these machines can take days to weeks."</f>
        <v>GPU quota starts at zero on both clouds. Approval to launch these machines can take days to weeks.</v>
      </c>
      <c r="B50" s="22"/>
      <c r="C50" s="22"/>
      <c r="D50" s="22"/>
    </row>
    <row r="52" customFormat="false" ht="15" hidden="false" customHeight="true" outlineLevel="0" collapsed="false">
      <c r="A52" s="23" t="s">
        <v>42</v>
      </c>
      <c r="B52" s="23"/>
      <c r="C52" s="23"/>
      <c r="D52" s="23"/>
    </row>
    <row r="53" customFormat="false" ht="15" hidden="false" customHeight="true" outlineLevel="0" collapsed="false">
      <c r="A53" s="23"/>
      <c r="B53" s="23"/>
      <c r="C53" s="23"/>
      <c r="D53" s="23"/>
    </row>
  </sheetData>
  <mergeCells count="9">
    <mergeCell ref="A2:D2"/>
    <mergeCell ref="B31:D31"/>
    <mergeCell ref="A45:D45"/>
    <mergeCell ref="A46:D46"/>
    <mergeCell ref="A47:D47"/>
    <mergeCell ref="A48:D48"/>
    <mergeCell ref="A49:D49"/>
    <mergeCell ref="A50:D50"/>
    <mergeCell ref="A52:D53"/>
  </mergeCells>
  <printOptions headings="false" gridLines="false" gridLinesSet="true" horizontalCentered="false" verticalCentered="false"/>
  <pageMargins left="0.4" right="0.4" top="0.4" bottom="0.4"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62"/>
    <col collapsed="false" customWidth="true" hidden="false" outlineLevel="0" max="3" min="3" style="1" width="34"/>
  </cols>
  <sheetData>
    <row r="1" customFormat="false" ht="19.5" hidden="false" customHeight="true" outlineLevel="0" collapsed="false">
      <c r="A1" s="24" t="s">
        <v>43</v>
      </c>
    </row>
    <row r="2" customFormat="false" ht="15" hidden="false" customHeight="true" outlineLevel="0" collapsed="false">
      <c r="A2" s="25" t="s">
        <v>44</v>
      </c>
    </row>
    <row r="3" customFormat="false" ht="15" hidden="false" customHeight="true" outlineLevel="0" collapsed="false">
      <c r="A3" s="10" t="s">
        <v>45</v>
      </c>
    </row>
    <row r="5" customFormat="false" ht="15" hidden="false" customHeight="true" outlineLevel="0" collapsed="false">
      <c r="A5" s="26" t="s">
        <v>46</v>
      </c>
      <c r="B5" s="26"/>
      <c r="C5" s="26"/>
    </row>
    <row r="6" customFormat="false" ht="15" hidden="false" customHeight="true" outlineLevel="0" collapsed="false">
      <c r="B6" s="27" t="s">
        <v>47</v>
      </c>
      <c r="C6" s="10" t="s">
        <v>48</v>
      </c>
    </row>
    <row r="8" customFormat="false" ht="15" hidden="false" customHeight="true" outlineLevel="0" collapsed="false">
      <c r="A8" s="26" t="s">
        <v>49</v>
      </c>
      <c r="B8" s="26"/>
      <c r="C8" s="26"/>
    </row>
    <row r="9" customFormat="false" ht="15" hidden="false" customHeight="true" outlineLevel="0" collapsed="false">
      <c r="B9" s="27" t="s">
        <v>50</v>
      </c>
      <c r="C9" s="10" t="s">
        <v>51</v>
      </c>
    </row>
    <row r="11" customFormat="false" ht="15" hidden="false" customHeight="true" outlineLevel="0" collapsed="false">
      <c r="A11" s="26" t="s">
        <v>52</v>
      </c>
      <c r="B11" s="26"/>
      <c r="C11" s="26"/>
    </row>
    <row r="12" customFormat="false" ht="15" hidden="false" customHeight="true" outlineLevel="0" collapsed="false">
      <c r="B12" s="27" t="s">
        <v>53</v>
      </c>
      <c r="C12" s="10" t="s">
        <v>54</v>
      </c>
    </row>
    <row r="14" customFormat="false" ht="15" hidden="false" customHeight="true" outlineLevel="0" collapsed="false">
      <c r="A14" s="26" t="s">
        <v>55</v>
      </c>
      <c r="B14" s="26"/>
      <c r="C14" s="26"/>
    </row>
    <row r="15" customFormat="false" ht="15" hidden="false" customHeight="true" outlineLevel="0" collapsed="false">
      <c r="A15" s="28" t="s">
        <v>56</v>
      </c>
      <c r="B15" s="28" t="s">
        <v>57</v>
      </c>
      <c r="C15" s="28" t="s">
        <v>58</v>
      </c>
    </row>
    <row r="16" customFormat="false" ht="15" hidden="false" customHeight="true" outlineLevel="0" collapsed="false">
      <c r="A16" s="29" t="s">
        <v>59</v>
      </c>
      <c r="B16" s="30" t="s">
        <v>60</v>
      </c>
      <c r="C16" s="31" t="n">
        <f aca="false">INDEX(Rates!$B$89:$B$92,MATCH($B$6,Rates!$A$89:$A$92,0))</f>
        <v>70</v>
      </c>
    </row>
    <row r="17" customFormat="false" ht="15" hidden="false" customHeight="true" outlineLevel="0" collapsed="false">
      <c r="A17" s="29" t="s">
        <v>61</v>
      </c>
      <c r="B17" s="30" t="s">
        <v>60</v>
      </c>
      <c r="C17" s="31" t="n">
        <f aca="false">INDEX(Rates!$C$89:$C$92,MATCH($B$6,Rates!$A$89:$A$92,0))</f>
        <v>500</v>
      </c>
    </row>
    <row r="18" customFormat="false" ht="15" hidden="false" customHeight="true" outlineLevel="0" collapsed="false">
      <c r="A18" s="29" t="s">
        <v>62</v>
      </c>
      <c r="B18" s="30" t="s">
        <v>63</v>
      </c>
      <c r="C18" s="31" t="n">
        <f aca="false">INDEX(Rates!$B$95:$B$98,MATCH($B$9,Rates!$A$95:$A$98,0))</f>
        <v>24</v>
      </c>
    </row>
    <row r="19" customFormat="false" ht="15" hidden="false" customHeight="true" outlineLevel="0" collapsed="false">
      <c r="A19" s="29" t="s">
        <v>64</v>
      </c>
      <c r="B19" s="30" t="s">
        <v>63</v>
      </c>
      <c r="C19" s="32" t="n">
        <f aca="false">INDEX(Rates!$C$95:$C$98,MATCH($B$9,Rates!$A$95:$A$98,0))</f>
        <v>30.42</v>
      </c>
    </row>
    <row r="20" customFormat="false" ht="15" hidden="false" customHeight="true" outlineLevel="0" collapsed="false">
      <c r="A20" s="29" t="s">
        <v>65</v>
      </c>
      <c r="B20" s="30" t="s">
        <v>63</v>
      </c>
      <c r="C20" s="31" t="n">
        <f aca="false">INDEX(Rates!$D$95:$D$98,MATCH($B$9,Rates!$A$95:$A$98,0))</f>
        <v>1</v>
      </c>
    </row>
    <row r="21" customFormat="false" ht="15" hidden="false" customHeight="true" outlineLevel="0" collapsed="false">
      <c r="A21" s="29" t="s">
        <v>66</v>
      </c>
      <c r="B21" s="30" t="s">
        <v>63</v>
      </c>
      <c r="C21" s="31" t="n">
        <f aca="false">INDEX(Rates!$E$95:$E$98,MATCH($B$9,Rates!$A$95:$A$98,0))</f>
        <v>2000</v>
      </c>
    </row>
    <row r="22" customFormat="false" ht="15" hidden="false" customHeight="true" outlineLevel="0" collapsed="false">
      <c r="A22" s="29" t="s">
        <v>67</v>
      </c>
      <c r="B22" s="30" t="s">
        <v>68</v>
      </c>
      <c r="C22" s="33" t="str">
        <f aca="false">INDEX(Rates!$B$101:$B$103,MATCH($B$12,Rates!$A$101:$A$103,0))</f>
        <v>FP8 / INT8 - balanced</v>
      </c>
    </row>
    <row r="23" customFormat="false" ht="15" hidden="false" customHeight="true" outlineLevel="0" collapsed="false">
      <c r="A23" s="29" t="s">
        <v>69</v>
      </c>
      <c r="B23" s="30" t="s">
        <v>68</v>
      </c>
      <c r="C23" s="33" t="str">
        <f aca="false">INDEX(Rates!$C$101:$C$103,MATCH($B$12,Rates!$A$101:$A$103,0))</f>
        <v>On-demand (pay as you go)</v>
      </c>
    </row>
    <row r="24" customFormat="false" ht="15" hidden="false" customHeight="true" outlineLevel="0" collapsed="false">
      <c r="A24" s="29" t="s">
        <v>70</v>
      </c>
      <c r="B24" s="30" t="s">
        <v>68</v>
      </c>
      <c r="C24" s="33" t="str">
        <f aca="false">INDEX(Rates!$D$101:$D$103,MATCH($B$12,Rates!$A$101:$A$103,0))</f>
        <v>No - plain virtual machines</v>
      </c>
    </row>
    <row r="26" customFormat="false" ht="15" hidden="false" customHeight="true" outlineLevel="0" collapsed="false">
      <c r="A26" s="34" t="s">
        <v>71</v>
      </c>
      <c r="B26" s="34"/>
      <c r="C26" s="34"/>
    </row>
    <row r="27" customFormat="false" ht="15" hidden="false" customHeight="true" outlineLevel="0" collapsed="false">
      <c r="A27" s="34"/>
      <c r="B27" s="34"/>
      <c r="C27" s="34"/>
    </row>
    <row r="29" customFormat="false" ht="15" hidden="false" customHeight="true" outlineLevel="0" collapsed="false">
      <c r="A29" s="26" t="s">
        <v>72</v>
      </c>
      <c r="B29" s="26"/>
      <c r="C29" s="26"/>
    </row>
    <row r="30" customFormat="false" ht="15" hidden="false" customHeight="true" outlineLevel="0" collapsed="false">
      <c r="A30" s="6" t="s">
        <v>73</v>
      </c>
      <c r="B30" s="35" t="n">
        <f aca="false">Calculator!$B$10</f>
        <v>91</v>
      </c>
    </row>
    <row r="31" customFormat="false" ht="15" hidden="false" customHeight="true" outlineLevel="0" collapsed="false">
      <c r="A31" s="8" t="s">
        <v>74</v>
      </c>
      <c r="B31" s="36" t="str">
        <f aca="false">Calculator!$B$36</f>
        <v>Standard_NC40ads_H100_v5</v>
      </c>
    </row>
    <row r="32" customFormat="false" ht="15" hidden="false" customHeight="true" outlineLevel="0" collapsed="false">
      <c r="A32" s="18" t="s">
        <v>75</v>
      </c>
      <c r="B32" s="37" t="str">
        <f aca="false">Calculator!$B$37</f>
        <v>Microsoft Azure</v>
      </c>
    </row>
    <row r="33" customFormat="false" ht="15" hidden="false" customHeight="true" outlineLevel="0" collapsed="false">
      <c r="A33" s="6" t="s">
        <v>76</v>
      </c>
      <c r="B33" s="35" t="n">
        <f aca="false">Calculator!$B$45</f>
        <v>730.08</v>
      </c>
    </row>
    <row r="34" customFormat="false" ht="15" hidden="false" customHeight="true" outlineLevel="0" collapsed="false">
      <c r="A34" s="6" t="s">
        <v>77</v>
      </c>
      <c r="B34" s="35" t="n">
        <f aca="false">Calculator!$D$9</f>
        <v>1</v>
      </c>
      <c r="C34" s="10" t="str">
        <f aca="false">IF(Calculator!$D$9&gt;$C$20,"Raised from "&amp;$C$20&amp;" because the traffic on the Inference tab needs "&amp;Inference!$B$23&amp;" machines to keep up","Matches the minimum above")</f>
        <v>Matches the minimum above</v>
      </c>
    </row>
    <row r="36" customFormat="false" ht="15" hidden="false" customHeight="true" outlineLevel="0" collapsed="false">
      <c r="A36" s="6" t="s">
        <v>78</v>
      </c>
      <c r="B36" s="38" t="n">
        <f aca="false">Calculator!$B$48+Calculator!$B$49+Calculator!$B$50+Calculator!$B$51</f>
        <v>5301.7584</v>
      </c>
    </row>
    <row r="37" customFormat="false" ht="15" hidden="false" customHeight="true" outlineLevel="0" collapsed="false">
      <c r="A37" s="6" t="s">
        <v>79</v>
      </c>
      <c r="B37" s="38" t="n">
        <f aca="false">Calculator!$B$52</f>
        <v>6960</v>
      </c>
    </row>
    <row r="38" customFormat="false" ht="17.25" hidden="false" customHeight="true" outlineLevel="0" collapsed="false">
      <c r="A38" s="39" t="s">
        <v>22</v>
      </c>
      <c r="B38" s="40" t="n">
        <f aca="false">Calculator!$B$53</f>
        <v>12261.7584</v>
      </c>
    </row>
    <row r="39" customFormat="false" ht="15" hidden="false" customHeight="true" outlineLevel="0" collapsed="false">
      <c r="A39" s="8" t="s">
        <v>23</v>
      </c>
      <c r="B39" s="41" t="n">
        <f aca="false">Calculator!$B$54</f>
        <v>147141.1008</v>
      </c>
    </row>
    <row r="41" customFormat="false" ht="15" hidden="false" customHeight="true" outlineLevel="0" collapsed="false">
      <c r="A41" s="18" t="s">
        <v>80</v>
      </c>
      <c r="B41" s="42" t="str">
        <f aca="false">IF(Calculator!$B$122=0,"No single machine is big enough for a model this size at this quality setting. Try answering ""Lowest possible cost"" to question 3, or pick a smaller model in question 1.","Running a "&amp;LOWER(LEFT($B$6,FIND(" ",$B$6)-1))&amp;" model this way costs about $"&amp;TEXT(Calculator!$B$53,"#,##0")&amp;" a month, of which $"&amp;TEXT(Calculator!$B$52,"#,##0")&amp;" is the people who look after it and $"&amp;TEXT(Calculator!$B$53-Calculator!$B$52,"#,##0")&amp;" is the cloud bill. That is $"&amp;TEXT(Calculator!$B$54,"#,##0")&amp;" over a year.")</f>
        <v>Running a large model this way costs about $12,262 a month, of which $6,960 is the people who look after it and $5,302 is the cloud bill. That is $147,141 over a year.</v>
      </c>
      <c r="C41" s="42"/>
    </row>
    <row r="42" customFormat="false" ht="15" hidden="false" customHeight="true" outlineLevel="0" collapsed="false">
      <c r="B42" s="42"/>
      <c r="C42" s="42"/>
    </row>
    <row r="43" customFormat="false" ht="15" hidden="false" customHeight="true" outlineLevel="0" collapsed="false">
      <c r="B43" s="42"/>
      <c r="C43" s="42"/>
    </row>
    <row r="45" customFormat="false" ht="15" hidden="false" customHeight="true" outlineLevel="0" collapsed="false">
      <c r="A45" s="43" t="s">
        <v>81</v>
      </c>
    </row>
    <row r="46" customFormat="false" ht="15" hidden="false" customHeight="true" outlineLevel="0" collapsed="false">
      <c r="A46" s="10" t="s">
        <v>82</v>
      </c>
    </row>
    <row r="47" customFormat="false" ht="15" hidden="false" customHeight="true" outlineLevel="0" collapsed="false">
      <c r="A47" s="10" t="s">
        <v>83</v>
      </c>
    </row>
    <row r="48" customFormat="false" ht="15" hidden="false" customHeight="true" outlineLevel="0" collapsed="false">
      <c r="A48" s="10" t="s">
        <v>84</v>
      </c>
    </row>
    <row r="49" customFormat="false" ht="15" hidden="false" customHeight="true" outlineLevel="0" collapsed="false">
      <c r="A49" s="10" t="s">
        <v>85</v>
      </c>
    </row>
    <row r="51" customFormat="false" ht="15" hidden="false" customHeight="true" outlineLevel="0" collapsed="false">
      <c r="A51" s="26" t="s">
        <v>86</v>
      </c>
      <c r="B51" s="26"/>
      <c r="C51" s="26"/>
    </row>
    <row r="52" customFormat="false" ht="15" hidden="false" customHeight="true" outlineLevel="0" collapsed="false">
      <c r="A52" s="8" t="s">
        <v>87</v>
      </c>
      <c r="B52" s="36" t="str">
        <f aca="false">IFERROR(INDEX(Rates!$A$114:$A$134,MATCH(MIN(Rates!$I$114:$I$134),Rates!$I$114:$I$134,0)),"-")</f>
        <v>Gemini 2.5 Flash-Lite</v>
      </c>
      <c r="C52" s="10" t="s">
        <v>88</v>
      </c>
    </row>
    <row r="53" customFormat="false" ht="15" hidden="false" customHeight="true" outlineLevel="0" collapsed="false">
      <c r="A53" s="6" t="s">
        <v>89</v>
      </c>
      <c r="B53" s="44" t="str">
        <f aca="false">IFERROR(INDEX(Rates!$B$114:$B$134,MATCH(MIN(Rates!$I$114:$I$134),Rates!$I$114:$I$134,0)),"-")</f>
        <v>Google Cloud</v>
      </c>
    </row>
    <row r="54" customFormat="false" ht="15" hidden="false" customHeight="true" outlineLevel="0" collapsed="false">
      <c r="A54" s="6" t="s">
        <v>90</v>
      </c>
      <c r="B54" s="38" t="n">
        <f aca="false">MIN(Rates!$I$114:$I$134)</f>
        <v>120</v>
      </c>
    </row>
    <row r="55" customFormat="false" ht="15" hidden="false" customHeight="true" outlineLevel="0" collapsed="false">
      <c r="A55" s="6" t="s">
        <v>91</v>
      </c>
      <c r="B55" s="38" t="n">
        <f aca="false">Calculator!$B$69</f>
        <v>2320</v>
      </c>
    </row>
    <row r="56" customFormat="false" ht="15" hidden="false" customHeight="true" outlineLevel="0" collapsed="false">
      <c r="A56" s="45" t="s">
        <v>22</v>
      </c>
      <c r="B56" s="46" t="n">
        <f aca="false">MIN(Rates!$I$114:$I$134)+Calculator!$B$69</f>
        <v>2440</v>
      </c>
    </row>
    <row r="58" customFormat="false" ht="15" hidden="false" customHeight="true" outlineLevel="0" collapsed="false">
      <c r="A58" s="18" t="s">
        <v>92</v>
      </c>
      <c r="B58" s="42" t="str">
        <f aca="false">IF(Inference!$B$7&lt;=0,"Set your expected traffic on the Inference tab to see this comparison.",IF($B$56&lt;$B$38,"Paying per token looks cheaper for this much traffic - about $"&amp;TEXT($B$38-$B$56,"#,##0")&amp;" a month less, and far less to look after. Running your own machines usually only wins once traffic is much heavier, or when the data cannot leave your control.","Running your own machines looks cheaper here - about $"&amp;TEXT($B$56-$B$38,"#,##0")&amp;" a month less - because there is enough traffic to keep them busy."))</f>
        <v>Paying per token looks cheaper for this much traffic - about $9,822 a month less, and far less to look after. Running your own machines usually only wins once traffic is much heavier, or when the data cannot leave your control.</v>
      </c>
      <c r="C58" s="42"/>
    </row>
    <row r="59" customFormat="false" ht="15" hidden="false" customHeight="true" outlineLevel="0" collapsed="false">
      <c r="B59" s="42"/>
      <c r="C59" s="42"/>
    </row>
    <row r="60" customFormat="false" ht="15" hidden="false" customHeight="true" outlineLevel="0" collapsed="false">
      <c r="B60" s="42"/>
      <c r="C60" s="42"/>
    </row>
  </sheetData>
  <mergeCells count="3">
    <mergeCell ref="A26:C27"/>
    <mergeCell ref="B41:C43"/>
    <mergeCell ref="B58:C60"/>
  </mergeCells>
  <dataValidations count="3">
    <dataValidation allowBlank="false" error="Please choose one of the options in the drop-down list." errorStyle="stop" errorTitle="Pick from the list" operator="between" showDropDown="false" showErrorMessage="false" showInputMessage="false" sqref="B6" type="list">
      <formula1>Rates!$A$89:$A$92</formula1>
      <formula2>0</formula2>
    </dataValidation>
    <dataValidation allowBlank="false" error="Please choose one of the options in the drop-down list." errorStyle="stop" errorTitle="Pick from the list" operator="between" showDropDown="false" showErrorMessage="false" showInputMessage="false" sqref="B9" type="list">
      <formula1>Rates!$A$95:$A$98</formula1>
      <formula2>0</formula2>
    </dataValidation>
    <dataValidation allowBlank="false" error="Please choose one of the options in the drop-down list." errorStyle="stop" errorTitle="Pick from the list" operator="between" showDropDown="false" showErrorMessage="false" showInputMessage="false" sqref="B12" type="list">
      <formula1>Rates!$A$101:$A$103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30"/>
    <col collapsed="false" customWidth="true" hidden="false" outlineLevel="0" max="3" min="3" style="1" width="62"/>
    <col collapsed="false" customWidth="true" hidden="false" outlineLevel="0" max="4" min="4" style="1" width="26"/>
    <col collapsed="false" customWidth="true" hidden="false" outlineLevel="0" max="5" min="5" style="1" width="14"/>
  </cols>
  <sheetData>
    <row r="1" customFormat="false" ht="19.5" hidden="false" customHeight="true" outlineLevel="0" collapsed="false">
      <c r="A1" s="24" t="s">
        <v>93</v>
      </c>
    </row>
    <row r="2" customFormat="false" ht="15" hidden="false" customHeight="true" outlineLevel="0" collapsed="false">
      <c r="A2" s="25" t="s">
        <v>94</v>
      </c>
    </row>
    <row r="3" customFormat="false" ht="15" hidden="false" customHeight="true" outlineLevel="0" collapsed="false">
      <c r="A3" s="47" t="s">
        <v>95</v>
      </c>
    </row>
    <row r="4" customFormat="false" ht="15" hidden="false" customHeight="true" outlineLevel="0" collapsed="false">
      <c r="A4" s="18" t="s">
        <v>96</v>
      </c>
      <c r="B4" s="48" t="s">
        <v>97</v>
      </c>
      <c r="C4" s="10" t="s">
        <v>98</v>
      </c>
      <c r="D4" s="48" t="s">
        <v>99</v>
      </c>
      <c r="E4" s="48" t="s">
        <v>100</v>
      </c>
    </row>
    <row r="5" customFormat="false" ht="15" hidden="false" customHeight="true" outlineLevel="0" collapsed="false">
      <c r="A5" s="26" t="s">
        <v>101</v>
      </c>
      <c r="B5" s="26"/>
      <c r="C5" s="26"/>
      <c r="D5" s="26"/>
    </row>
    <row r="6" customFormat="false" ht="15" hidden="false" customHeight="true" outlineLevel="0" collapsed="false">
      <c r="A6" s="6" t="s">
        <v>102</v>
      </c>
      <c r="B6" s="49"/>
      <c r="C6" s="10" t="s">
        <v>103</v>
      </c>
      <c r="D6" s="31" t="n">
        <f aca="false">IF($B$6="",Simple_Calc!$C$16,$B$6)</f>
        <v>70</v>
      </c>
      <c r="E6" s="50" t="str">
        <f aca="false">IF($B$6="","Simple_Calc","your entry")</f>
        <v>Simple_Calc</v>
      </c>
    </row>
    <row r="7" customFormat="false" ht="15" hidden="false" customHeight="true" outlineLevel="0" collapsed="false">
      <c r="A7" s="6" t="s">
        <v>104</v>
      </c>
      <c r="B7" s="27"/>
      <c r="C7" s="10" t="s">
        <v>105</v>
      </c>
      <c r="D7" s="33" t="str">
        <f aca="false">IF($B$7="",Simple_Calc!$C$22,$B$7)</f>
        <v>FP8 / INT8 - balanced</v>
      </c>
      <c r="E7" s="50" t="str">
        <f aca="false">IF($B$7="","Simple_Calc","your entry")</f>
        <v>Simple_Calc</v>
      </c>
    </row>
    <row r="8" customFormat="false" ht="15" hidden="false" customHeight="true" outlineLevel="0" collapsed="false">
      <c r="A8" s="6" t="s">
        <v>106</v>
      </c>
      <c r="B8" s="51" t="n">
        <v>0.3</v>
      </c>
      <c r="C8" s="10" t="s">
        <v>107</v>
      </c>
    </row>
    <row r="9" customFormat="false" ht="15" hidden="false" customHeight="true" outlineLevel="0" collapsed="false">
      <c r="A9" s="6" t="s">
        <v>108</v>
      </c>
      <c r="B9" s="49"/>
      <c r="C9" s="10" t="s">
        <v>109</v>
      </c>
      <c r="D9" s="31" t="n">
        <f aca="false">MAX(IF($B$9="",Simple_Calc!$C$20,$B$9),$B$130)</f>
        <v>1</v>
      </c>
      <c r="E9" s="50" t="str">
        <f aca="false">IF($B$9="","Simple_Calc","your entry")</f>
        <v>Simple_Calc</v>
      </c>
    </row>
    <row r="10" customFormat="false" ht="15" hidden="false" customHeight="true" outlineLevel="0" collapsed="false">
      <c r="A10" s="18" t="s">
        <v>110</v>
      </c>
      <c r="B10" s="52" t="n">
        <f aca="false">ROUNDUP($D$6*INDEX(Rates!$B$39:$B$41,MATCH($D$7,Rates!$A$39:$A$41,0))*(1+B8),0)</f>
        <v>91</v>
      </c>
      <c r="C10" s="10" t="s">
        <v>111</v>
      </c>
    </row>
    <row r="12" customFormat="false" ht="15" hidden="false" customHeight="true" outlineLevel="0" collapsed="false">
      <c r="A12" s="26" t="s">
        <v>112</v>
      </c>
      <c r="B12" s="26"/>
      <c r="C12" s="26"/>
      <c r="D12" s="26"/>
    </row>
    <row r="13" customFormat="false" ht="15" hidden="false" customHeight="true" outlineLevel="0" collapsed="false">
      <c r="A13" s="6" t="s">
        <v>113</v>
      </c>
      <c r="B13" s="27" t="s">
        <v>114</v>
      </c>
      <c r="C13" s="10" t="s">
        <v>115</v>
      </c>
    </row>
    <row r="14" customFormat="false" ht="15" hidden="false" customHeight="true" outlineLevel="0" collapsed="false">
      <c r="A14" s="6" t="s">
        <v>116</v>
      </c>
      <c r="B14" s="27" t="s">
        <v>117</v>
      </c>
      <c r="C14" s="10" t="s">
        <v>118</v>
      </c>
    </row>
    <row r="15" customFormat="false" ht="15" hidden="false" customHeight="true" outlineLevel="0" collapsed="false">
      <c r="A15" s="6" t="s">
        <v>119</v>
      </c>
      <c r="B15" s="27" t="s">
        <v>120</v>
      </c>
      <c r="C15" s="10" t="s">
        <v>121</v>
      </c>
    </row>
    <row r="16" customFormat="false" ht="15" hidden="false" customHeight="true" outlineLevel="0" collapsed="false">
      <c r="A16" s="6" t="s">
        <v>122</v>
      </c>
      <c r="B16" s="27"/>
      <c r="C16" s="10" t="s">
        <v>123</v>
      </c>
      <c r="D16" s="33" t="str">
        <f aca="false">IF($B$16="",Simple_Calc!$C$23,$B$16)</f>
        <v>On-demand (pay as you go)</v>
      </c>
      <c r="E16" s="50" t="str">
        <f aca="false">IF($B$16="","Simple_Calc","your entry")</f>
        <v>Simple_Calc</v>
      </c>
    </row>
    <row r="17" customFormat="false" ht="15" hidden="false" customHeight="true" outlineLevel="0" collapsed="false">
      <c r="A17" s="6" t="s">
        <v>124</v>
      </c>
      <c r="B17" s="49"/>
      <c r="C17" s="10" t="s">
        <v>125</v>
      </c>
      <c r="D17" s="31" t="n">
        <f aca="false">IF($B$17="",Simple_Calc!$C$18,$B$17)</f>
        <v>24</v>
      </c>
      <c r="E17" s="50" t="str">
        <f aca="false">IF($B$17="","Simple_Calc","your entry")</f>
        <v>Simple_Calc</v>
      </c>
    </row>
    <row r="18" customFormat="false" ht="15" hidden="false" customHeight="true" outlineLevel="0" collapsed="false">
      <c r="A18" s="6" t="s">
        <v>126</v>
      </c>
      <c r="B18" s="53"/>
      <c r="C18" s="10" t="s">
        <v>127</v>
      </c>
      <c r="D18" s="32" t="n">
        <f aca="false">IF($B$18="",Simple_Calc!$C$19,$B$18)</f>
        <v>30.42</v>
      </c>
      <c r="E18" s="50" t="str">
        <f aca="false">IF($B$18="","Simple_Calc","your entry")</f>
        <v>Simple_Calc</v>
      </c>
    </row>
    <row r="20" customFormat="false" ht="15" hidden="false" customHeight="true" outlineLevel="0" collapsed="false">
      <c r="A20" s="26" t="s">
        <v>128</v>
      </c>
      <c r="B20" s="26"/>
      <c r="C20" s="26"/>
      <c r="D20" s="26"/>
    </row>
    <row r="21" customFormat="false" ht="15" hidden="false" customHeight="true" outlineLevel="0" collapsed="false">
      <c r="A21" s="6" t="s">
        <v>129</v>
      </c>
      <c r="B21" s="49"/>
      <c r="C21" s="10" t="s">
        <v>130</v>
      </c>
      <c r="D21" s="31" t="n">
        <f aca="false">IF($B$21="",Simple_Calc!$C$17,$B$21)</f>
        <v>500</v>
      </c>
      <c r="E21" s="50" t="str">
        <f aca="false">IF($B$21="","Simple_Calc","your entry")</f>
        <v>Simple_Calc</v>
      </c>
    </row>
    <row r="22" customFormat="false" ht="15" hidden="false" customHeight="true" outlineLevel="0" collapsed="false">
      <c r="A22" s="6" t="s">
        <v>131</v>
      </c>
      <c r="B22" s="27" t="s">
        <v>132</v>
      </c>
      <c r="C22" s="10" t="s">
        <v>133</v>
      </c>
    </row>
    <row r="23" customFormat="false" ht="15" hidden="false" customHeight="true" outlineLevel="0" collapsed="false">
      <c r="A23" s="6" t="s">
        <v>134</v>
      </c>
      <c r="B23" s="49"/>
      <c r="C23" s="10" t="s">
        <v>135</v>
      </c>
      <c r="D23" s="31" t="n">
        <f aca="false">IF($B$23="",Simple_Calc!$C$21,$B$23)</f>
        <v>2000</v>
      </c>
      <c r="E23" s="50" t="str">
        <f aca="false">IF($B$23="","Simple_Calc","your entry")</f>
        <v>Simple_Calc</v>
      </c>
    </row>
    <row r="25" customFormat="false" ht="15" hidden="false" customHeight="true" outlineLevel="0" collapsed="false">
      <c r="A25" s="26" t="s">
        <v>136</v>
      </c>
      <c r="B25" s="26"/>
      <c r="C25" s="26"/>
      <c r="D25" s="26"/>
    </row>
    <row r="26" customFormat="false" ht="15" hidden="false" customHeight="true" outlineLevel="0" collapsed="false">
      <c r="A26" s="6" t="s">
        <v>137</v>
      </c>
      <c r="B26" s="27"/>
      <c r="C26" s="10" t="s">
        <v>138</v>
      </c>
      <c r="D26" s="33" t="str">
        <f aca="false">IF($B$26="",Simple_Calc!$C$24,$B$26)</f>
        <v>No - plain virtual machines</v>
      </c>
      <c r="E26" s="50" t="str">
        <f aca="false">IF($B$26="","Simple_Calc","your entry")</f>
        <v>Simple_Calc</v>
      </c>
    </row>
    <row r="28" customFormat="false" ht="15" hidden="false" customHeight="true" outlineLevel="0" collapsed="false">
      <c r="A28" s="26" t="s">
        <v>139</v>
      </c>
      <c r="B28" s="26"/>
      <c r="C28" s="26"/>
      <c r="D28" s="26"/>
    </row>
    <row r="29" customFormat="false" ht="15" hidden="false" customHeight="true" outlineLevel="0" collapsed="false">
      <c r="A29" s="18" t="s">
        <v>140</v>
      </c>
      <c r="B29" s="54" t="str">
        <f aca="false">IF($D$6&lt;=Rates!$B$85,IF($D$6&lt;=Rates!$B$84,Rates!$A$80,Rates!$A$81),Rates!$A$82)</f>
        <v>Medium</v>
      </c>
      <c r="C29" s="10" t="s">
        <v>141</v>
      </c>
    </row>
    <row r="30" customFormat="false" ht="15" hidden="false" customHeight="true" outlineLevel="0" collapsed="false">
      <c r="A30" s="6" t="s">
        <v>142</v>
      </c>
      <c r="B30" s="27" t="s">
        <v>143</v>
      </c>
      <c r="C30" s="10" t="s">
        <v>144</v>
      </c>
    </row>
    <row r="31" customFormat="false" ht="15" hidden="false" customHeight="true" outlineLevel="0" collapsed="false">
      <c r="A31" s="18" t="s">
        <v>145</v>
      </c>
      <c r="B31" s="55" t="n">
        <f aca="false">IF($B$32="",INDEX(Rates!$B$80:$B$82,MATCH($B$128,Rates!$A$80:$A$82,0)),$B$32)</f>
        <v>60</v>
      </c>
      <c r="C31" s="10" t="s">
        <v>146</v>
      </c>
    </row>
    <row r="32" customFormat="false" ht="15" hidden="false" customHeight="true" outlineLevel="0" collapsed="false">
      <c r="A32" s="6" t="s">
        <v>147</v>
      </c>
      <c r="B32" s="49"/>
      <c r="C32" s="10" t="s">
        <v>148</v>
      </c>
    </row>
    <row r="33" customFormat="false" ht="15" hidden="false" customHeight="true" outlineLevel="0" collapsed="false">
      <c r="A33" s="6" t="s">
        <v>149</v>
      </c>
      <c r="B33" s="56" t="n">
        <v>116</v>
      </c>
      <c r="C33" s="10" t="s">
        <v>150</v>
      </c>
    </row>
    <row r="35" customFormat="false" ht="15" hidden="false" customHeight="true" outlineLevel="0" collapsed="false">
      <c r="A35" s="26" t="s">
        <v>151</v>
      </c>
      <c r="B35" s="26"/>
      <c r="C35" s="26"/>
      <c r="D35" s="26"/>
    </row>
    <row r="36" customFormat="false" ht="15" hidden="false" customHeight="true" outlineLevel="0" collapsed="false">
      <c r="A36" s="8" t="s">
        <v>152</v>
      </c>
      <c r="B36" s="36" t="str">
        <f aca="false">IF($B$122=0,"none available",INDEX(GPU_Price_List!$H$5:$H$35,$B$121))</f>
        <v>Standard_NC40ads_H100_v5</v>
      </c>
    </row>
    <row r="37" customFormat="false" ht="15" hidden="false" customHeight="true" outlineLevel="0" collapsed="false">
      <c r="A37" s="18" t="s">
        <v>8</v>
      </c>
      <c r="B37" s="37" t="str">
        <f aca="false">IF($B$122=0,"-",INDEX(GPU_Price_List!$C$5:$C$35,$B$121))</f>
        <v>Microsoft Azure</v>
      </c>
    </row>
    <row r="38" customFormat="false" ht="15" hidden="false" customHeight="true" outlineLevel="0" collapsed="false">
      <c r="A38" s="6" t="s">
        <v>10</v>
      </c>
      <c r="B38" s="44" t="str">
        <f aca="false">IF($B$122=0,"-",INDEX(GPU_Price_List!$D$5:$D$35,$B$121))</f>
        <v>NVIDIA H100 NVL</v>
      </c>
    </row>
    <row r="39" customFormat="false" ht="15" hidden="false" customHeight="true" outlineLevel="0" collapsed="false">
      <c r="A39" s="6" t="s">
        <v>153</v>
      </c>
      <c r="B39" s="35" t="n">
        <f aca="false">IF($B$122=0,0,INDEX(GPU_Price_List!$F$5:$F$35,$B$121))</f>
        <v>1</v>
      </c>
    </row>
    <row r="40" customFormat="false" ht="15" hidden="false" customHeight="true" outlineLevel="0" collapsed="false">
      <c r="A40" s="6" t="s">
        <v>154</v>
      </c>
      <c r="B40" s="35" t="n">
        <f aca="false">IF($B$122=0,0,INDEX(GPU_Price_List!$G$5:$G$35,$B$121))</f>
        <v>94</v>
      </c>
    </row>
    <row r="41" customFormat="false" ht="15" hidden="false" customHeight="true" outlineLevel="0" collapsed="false">
      <c r="A41" s="6" t="s">
        <v>155</v>
      </c>
      <c r="B41" s="35" t="n">
        <f aca="false">IF($B$122=0,0,INDEX(GPU_Price_List!$I$5:$I$35,$B$121))</f>
        <v>40</v>
      </c>
    </row>
    <row r="42" customFormat="false" ht="15" hidden="false" customHeight="true" outlineLevel="0" collapsed="false">
      <c r="A42" s="6" t="s">
        <v>156</v>
      </c>
      <c r="B42" s="35" t="n">
        <f aca="false">IF($B$122=0,0,INDEX(GPU_Price_List!$J$5:$J$35,$B$121))</f>
        <v>320</v>
      </c>
    </row>
    <row r="43" customFormat="false" ht="15" hidden="false" customHeight="true" outlineLevel="0" collapsed="false">
      <c r="A43" s="6" t="s">
        <v>157</v>
      </c>
      <c r="B43" s="57" t="n">
        <f aca="false">IF($B$122=0,0,INDEX(GPU_Price_List!$K$5:$K$35,$B$121))</f>
        <v>6.98</v>
      </c>
    </row>
    <row r="44" customFormat="false" ht="15" hidden="false" customHeight="true" outlineLevel="0" collapsed="false">
      <c r="A44" s="18" t="s">
        <v>158</v>
      </c>
      <c r="B44" s="58" t="n">
        <f aca="false">IF($B$122=0,0,INDEX(GPU_Price_List!$T$5:$T$35,$B$121)*$B$124)</f>
        <v>6.98</v>
      </c>
    </row>
    <row r="45" customFormat="false" ht="15" hidden="false" customHeight="true" outlineLevel="0" collapsed="false">
      <c r="A45" s="6" t="s">
        <v>159</v>
      </c>
      <c r="B45" s="35" t="n">
        <f aca="false">$D$17*$D$18</f>
        <v>730.08</v>
      </c>
    </row>
    <row r="47" customFormat="false" ht="15" hidden="false" customHeight="true" outlineLevel="0" collapsed="false">
      <c r="A47" s="26" t="s">
        <v>160</v>
      </c>
      <c r="B47" s="26"/>
      <c r="C47" s="26"/>
      <c r="D47" s="26"/>
    </row>
    <row r="48" customFormat="false" ht="15" hidden="false" customHeight="true" outlineLevel="0" collapsed="false">
      <c r="A48" s="6" t="s">
        <v>161</v>
      </c>
      <c r="B48" s="38" t="n">
        <f aca="false">B44*B45*$D$9</f>
        <v>5095.9584</v>
      </c>
      <c r="C48" s="10" t="s">
        <v>162</v>
      </c>
    </row>
    <row r="49" customFormat="false" ht="15" hidden="false" customHeight="true" outlineLevel="0" collapsed="false">
      <c r="A49" s="6" t="s">
        <v>18</v>
      </c>
      <c r="B49" s="38" t="n">
        <f aca="false">IF($B$122=0,0,$D$21*$D$9*$B$125)</f>
        <v>40.5</v>
      </c>
      <c r="C49" s="10" t="s">
        <v>163</v>
      </c>
    </row>
    <row r="50" customFormat="false" ht="15" hidden="false" customHeight="true" outlineLevel="0" collapsed="false">
      <c r="A50" s="6" t="s">
        <v>164</v>
      </c>
      <c r="B50" s="38" t="n">
        <f aca="false">IF($B$122=0,0,IF($B$37=Rates!$A$46,$B$127,$B$126))</f>
        <v>165.3</v>
      </c>
      <c r="C50" s="10" t="s">
        <v>165</v>
      </c>
    </row>
    <row r="51" customFormat="false" ht="15" hidden="false" customHeight="true" outlineLevel="0" collapsed="false">
      <c r="A51" s="6" t="s">
        <v>166</v>
      </c>
      <c r="B51" s="38" t="n">
        <f aca="false">IF($D$26=Rates!$F$46,$B$48*IF($B$37=Rates!$A$45,Rates!$B$34,Rates!$B$35),0)</f>
        <v>0</v>
      </c>
      <c r="C51" s="10" t="s">
        <v>167</v>
      </c>
    </row>
    <row r="52" customFormat="false" ht="15" hidden="false" customHeight="true" outlineLevel="0" collapsed="false">
      <c r="A52" s="6" t="s">
        <v>21</v>
      </c>
      <c r="B52" s="38" t="n">
        <f aca="false">$B$31*$B$33</f>
        <v>6960</v>
      </c>
      <c r="C52" s="10" t="str">
        <f aca="false">$B$31&amp;" hours x $"&amp;TEXT($B$33,"#,##0")&amp;" per hour ("&amp;$B$128&amp;" support)"</f>
        <v>60 hours x $116 per hour (Medium support)</v>
      </c>
    </row>
    <row r="53" customFormat="false" ht="15" hidden="false" customHeight="true" outlineLevel="0" collapsed="false">
      <c r="A53" s="45" t="s">
        <v>168</v>
      </c>
      <c r="B53" s="46" t="n">
        <f aca="false">SUM(B48:B52)</f>
        <v>12261.7584</v>
      </c>
    </row>
    <row r="54" customFormat="false" ht="15" hidden="false" customHeight="true" outlineLevel="0" collapsed="false">
      <c r="A54" s="18" t="s">
        <v>169</v>
      </c>
      <c r="B54" s="59" t="n">
        <f aca="false">B53*12</f>
        <v>147141.1008</v>
      </c>
    </row>
    <row r="55" customFormat="false" ht="15" hidden="false" customHeight="true" outlineLevel="0" collapsed="false">
      <c r="A55" s="6" t="s">
        <v>170</v>
      </c>
      <c r="B55" s="57" t="n">
        <f aca="false">IFERROR(B53/B45,0)</f>
        <v>16.7950887573965</v>
      </c>
    </row>
    <row r="56" customFormat="false" ht="30" hidden="false" customHeight="true" outlineLevel="0" collapsed="false">
      <c r="A56" s="6" t="s">
        <v>171</v>
      </c>
      <c r="B56" s="60" t="str">
        <f aca="false">IF($B$122=0,"-",IF(AND(INDEX(GPU_Price_List!$A$5:$A$35,$B$121)&lt;=2,$B$39&gt;=4),"Cheapest on memory, but it spreads your model over "&amp;$B$39&amp;" small GPUs. That is slower to answer and harder to set up than one large GPU - consider a higher tier if speed matters.",IF($B$39&gt;=8,"This is a full "&amp;$B$39&amp;"-GPU machine. You pay for all "&amp;$B$39&amp;" GPUs even if the model only needs some of them.","Sensible fit - the model runs on "&amp;$B$39&amp;" GPU(s) of this class.")))</f>
        <v>Sensible fit - the model runs on 1 GPU(s) of this class.</v>
      </c>
      <c r="C56" s="60"/>
      <c r="D56" s="60"/>
    </row>
    <row r="57" customFormat="false" ht="31.5" hidden="false" customHeight="true" outlineLevel="0" collapsed="false">
      <c r="A57" s="18" t="s">
        <v>172</v>
      </c>
      <c r="B57" s="61" t="str">
        <f aca="false">IF($B$122=0,"No machine on the price list has enough GPU memory ("&amp;$B$10&amp;" GB) for the cloud you picked. Try INT4 in step 1, a smaller model, or set the cloud to Compare both.","Looks good. Remember these are US list prices - any discount you have negotiated will lower them.")</f>
        <v>Looks good. Remember these are US list prices - any discount you have negotiated will lower them.</v>
      </c>
      <c r="C57" s="61"/>
      <c r="D57" s="61"/>
    </row>
    <row r="59" customFormat="false" ht="15" hidden="false" customHeight="true" outlineLevel="0" collapsed="false">
      <c r="A59" s="26" t="s">
        <v>173</v>
      </c>
      <c r="B59" s="26"/>
      <c r="C59" s="62" t="s">
        <v>174</v>
      </c>
      <c r="D59" s="26"/>
    </row>
    <row r="60" customFormat="false" ht="15" hidden="false" customHeight="true" outlineLevel="0" collapsed="false">
      <c r="A60" s="6" t="s">
        <v>175</v>
      </c>
      <c r="B60" s="27" t="s">
        <v>176</v>
      </c>
      <c r="C60" s="10" t="s">
        <v>177</v>
      </c>
    </row>
    <row r="61" customFormat="false" ht="15" hidden="false" customHeight="true" outlineLevel="0" collapsed="false">
      <c r="A61" s="18" t="s">
        <v>89</v>
      </c>
      <c r="B61" s="37" t="str">
        <f aca="false">INDEX(Rates!$B$114:$B$134,MATCH($B$60,Rates!$A$114:$A$134,0))</f>
        <v>Google Cloud</v>
      </c>
    </row>
    <row r="62" customFormat="false" ht="15" hidden="false" customHeight="true" outlineLevel="0" collapsed="false">
      <c r="A62" s="6" t="s">
        <v>178</v>
      </c>
      <c r="B62" s="44" t="str">
        <f aca="false">INDEX(Rates!$C$114:$C$134,MATCH($B$60,Rates!$A$114:$A$134,0))</f>
        <v>Google</v>
      </c>
    </row>
    <row r="63" customFormat="false" ht="15" hidden="false" customHeight="true" outlineLevel="0" collapsed="false">
      <c r="A63" s="6" t="s">
        <v>179</v>
      </c>
      <c r="B63" s="57" t="n">
        <f aca="false">INDEX(Rates!$D$114:$D$134,MATCH($B$60,Rates!$A$114:$A$134,0))</f>
        <v>0.3</v>
      </c>
    </row>
    <row r="64" customFormat="false" ht="15" hidden="false" customHeight="true" outlineLevel="0" collapsed="false">
      <c r="A64" s="6" t="s">
        <v>180</v>
      </c>
      <c r="B64" s="57" t="n">
        <f aca="false">INDEX(Rates!$E$114:$E$134,MATCH($B$60,Rates!$A$114:$A$134,0))</f>
        <v>2.5</v>
      </c>
    </row>
    <row r="65" customFormat="false" ht="15" hidden="false" customHeight="true" outlineLevel="0" collapsed="false">
      <c r="A65" s="6" t="s">
        <v>181</v>
      </c>
      <c r="B65" s="35" t="n">
        <f aca="false">Inference!$B$7*Inference!$B$8</f>
        <v>400000000</v>
      </c>
    </row>
    <row r="66" customFormat="false" ht="15" hidden="false" customHeight="true" outlineLevel="0" collapsed="false">
      <c r="A66" s="6" t="s">
        <v>182</v>
      </c>
      <c r="B66" s="35" t="n">
        <f aca="false">Inference!$B$7*Inference!$B$9</f>
        <v>200000000</v>
      </c>
    </row>
    <row r="67" customFormat="false" ht="15" hidden="false" customHeight="true" outlineLevel="0" collapsed="false">
      <c r="A67" s="18" t="s">
        <v>90</v>
      </c>
      <c r="B67" s="59" t="n">
        <f aca="false">$B$65/1000000*$B$63+$B$66/1000000*$B$64</f>
        <v>620</v>
      </c>
    </row>
    <row r="68" customFormat="false" ht="15" hidden="false" customHeight="true" outlineLevel="0" collapsed="false">
      <c r="A68" s="6" t="s">
        <v>183</v>
      </c>
      <c r="B68" s="49" t="n">
        <v>20</v>
      </c>
      <c r="C68" s="10" t="s">
        <v>184</v>
      </c>
    </row>
    <row r="69" customFormat="false" ht="15" hidden="false" customHeight="true" outlineLevel="0" collapsed="false">
      <c r="A69" s="6" t="s">
        <v>21</v>
      </c>
      <c r="B69" s="38" t="n">
        <f aca="false">$B$68*$B$33</f>
        <v>2320</v>
      </c>
    </row>
    <row r="70" customFormat="false" ht="15" hidden="false" customHeight="true" outlineLevel="0" collapsed="false">
      <c r="A70" s="45" t="s">
        <v>185</v>
      </c>
      <c r="B70" s="46" t="n">
        <f aca="false">$B$67+$B$69</f>
        <v>2940</v>
      </c>
    </row>
    <row r="71" customFormat="false" ht="15" hidden="false" customHeight="true" outlineLevel="0" collapsed="false">
      <c r="A71" s="18" t="s">
        <v>186</v>
      </c>
      <c r="B71" s="59" t="n">
        <f aca="false">$B$70*12</f>
        <v>35280</v>
      </c>
    </row>
    <row r="72" customFormat="false" ht="15" hidden="false" customHeight="true" outlineLevel="0" collapsed="false">
      <c r="A72" s="6" t="s">
        <v>34</v>
      </c>
      <c r="B72" s="57" t="n">
        <f aca="false">IFERROR($B$67/($B$66/1000000),0)</f>
        <v>3.1</v>
      </c>
    </row>
    <row r="73" customFormat="false" ht="15" hidden="false" customHeight="true" outlineLevel="0" collapsed="false">
      <c r="A73" s="6" t="s">
        <v>187</v>
      </c>
      <c r="B73" s="38" t="n">
        <f aca="false">$B$53</f>
        <v>12261.7584</v>
      </c>
    </row>
    <row r="74" customFormat="false" ht="15" hidden="false" customHeight="true" outlineLevel="0" collapsed="false">
      <c r="A74" s="18" t="s">
        <v>188</v>
      </c>
      <c r="B74" s="59" t="n">
        <f aca="false">$B$70-$B$53</f>
        <v>-9321.7584</v>
      </c>
    </row>
    <row r="75" customFormat="false" ht="43.5" hidden="false" customHeight="true" outlineLevel="0" collapsed="false">
      <c r="A75" s="18" t="s">
        <v>189</v>
      </c>
      <c r="B75" s="42" t="str">
        <f aca="false">IF(Inference!$B$7&lt;=0,"Enter your expected traffic on the Inference tab and this section will fill in.",IF($B$122=0,"Self-hosting has no machine big enough for this model, so paying per token is the only option here at $"&amp;TEXT($B$70,"#,##0")&amp;" per month.",IF($B$70&lt;$B$53,"Paying per token is cheaper by $"&amp;TEXT($B$53-$B$70,"#,##0")&amp;" per month ("&amp;TEXT(1-$B$70/$B$53,"0%")&amp;" less), and there are no machines to keep alive. Raise the requests figure on the Inference tab to find the volume where that reverses.","Self-hosting is cheaper by $"&amp;TEXT($B$70-$B$53,"#,##0")&amp;" per month ("&amp;TEXT(1-$B$53/$B$70,"0%")&amp;" less), because you are running enough volume to fill the machines you rent.")))</f>
        <v>Paying per token is cheaper by $9,322 per month (76% less), and there are no machines to keep alive. Raise the requests figure on the Inference tab to find the volume where that reverses.</v>
      </c>
      <c r="C75" s="42"/>
      <c r="D75" s="42"/>
    </row>
    <row r="77" customFormat="false" ht="15" hidden="false" customHeight="true" outlineLevel="0" collapsed="false">
      <c r="A77" s="43" t="s">
        <v>190</v>
      </c>
    </row>
    <row r="78" customFormat="false" ht="15" hidden="false" customHeight="true" outlineLevel="0" collapsed="false">
      <c r="A78" s="10" t="s">
        <v>191</v>
      </c>
    </row>
    <row r="79" customFormat="false" ht="15" hidden="false" customHeight="true" outlineLevel="0" collapsed="false">
      <c r="A79" s="10" t="s">
        <v>192</v>
      </c>
    </row>
    <row r="80" customFormat="false" ht="15" hidden="false" customHeight="true" outlineLevel="0" collapsed="false">
      <c r="A80" s="10" t="s">
        <v>193</v>
      </c>
    </row>
    <row r="81" customFormat="false" ht="15" hidden="false" customHeight="true" outlineLevel="0" collapsed="false">
      <c r="A81" s="10" t="s">
        <v>194</v>
      </c>
    </row>
    <row r="82" customFormat="false" ht="15" hidden="false" customHeight="true" outlineLevel="0" collapsed="false">
      <c r="A82" s="10" t="s">
        <v>195</v>
      </c>
    </row>
    <row r="120" customFormat="false" ht="15" hidden="false" customHeight="true" outlineLevel="0" collapsed="false">
      <c r="A120" s="63" t="s">
        <v>196</v>
      </c>
    </row>
    <row r="121" customFormat="false" ht="15" hidden="false" customHeight="true" outlineLevel="0" collapsed="false">
      <c r="A121" s="64" t="s">
        <v>197</v>
      </c>
      <c r="B121" s="65" t="n">
        <f aca="false">IF($B$15=Rates!$G$45,IFERROR(MATCH($B$123,GPU_Price_List!$W$5:$W$35,0),0),IFERROR(MATCH($B$15,GPU_Price_List!$S$5:$S$35,0),0))</f>
        <v>24</v>
      </c>
    </row>
    <row r="122" customFormat="false" ht="15" hidden="false" customHeight="true" outlineLevel="0" collapsed="false">
      <c r="A122" s="64" t="s">
        <v>198</v>
      </c>
      <c r="B122" s="65" t="n">
        <f aca="false">IF($B$15=Rates!$G$45,IF($B$123&gt;=1000000000,0,1),IF($B$121=0,0,1))</f>
        <v>1</v>
      </c>
    </row>
    <row r="123" customFormat="false" ht="15" hidden="false" customHeight="true" outlineLevel="0" collapsed="false">
      <c r="A123" s="64" t="s">
        <v>199</v>
      </c>
      <c r="B123" s="66" t="n">
        <f aca="false">MIN(GPU_Price_List!$W$5:$W$35)</f>
        <v>6.980001</v>
      </c>
    </row>
    <row r="124" customFormat="false" ht="15" hidden="false" customHeight="true" outlineLevel="0" collapsed="false">
      <c r="A124" s="64" t="s">
        <v>200</v>
      </c>
      <c r="B124" s="67" t="n">
        <f aca="false">IF($B$37=Rates!$A$45,INDEX(Rates!$B$21:$B$24,MATCH($B$14,Rates!$A$21:$A$24,0)),INDEX(Rates!$C$21:$C$24,MATCH($B$14,Rates!$A$21:$A$24,0)))</f>
        <v>1</v>
      </c>
    </row>
    <row r="125" customFormat="false" ht="15" hidden="false" customHeight="true" outlineLevel="0" collapsed="false">
      <c r="A125" s="64" t="s">
        <v>201</v>
      </c>
      <c r="B125" s="68" t="n">
        <f aca="false">IF($B$37=Rates!$A$45,INDEX(Rates!$B$6:$B$9,MATCH($B$22,Rates!$A$6:$A$9,0)),INDEX(Rates!$C$6:$C$9,MATCH($B$22,Rates!$A$6:$A$9,0)))</f>
        <v>0.081</v>
      </c>
    </row>
    <row r="126" customFormat="false" ht="15" hidden="false" customHeight="true" outlineLevel="0" collapsed="false">
      <c r="A126" s="64" t="s">
        <v>202</v>
      </c>
      <c r="B126" s="69" t="n">
        <f aca="false">MAX(MIN($D$23,1024)-Rates!$B$13,0)*Rates!$B$14+MIN(MAX($D$23-1024,0),9216)*Rates!$B$15+MAX($D$23-10240,0)*Rates!$B$16</f>
        <v>230.12</v>
      </c>
    </row>
    <row r="127" customFormat="false" ht="15" hidden="false" customHeight="true" outlineLevel="0" collapsed="false">
      <c r="A127" s="64" t="s">
        <v>203</v>
      </c>
      <c r="B127" s="69" t="n">
        <f aca="false">MAX($D$23-Rates!$C$13,0)*Rates!$C$14</f>
        <v>165.3</v>
      </c>
    </row>
    <row r="128" customFormat="false" ht="15" hidden="false" customHeight="true" outlineLevel="0" collapsed="false">
      <c r="A128" s="64" t="s">
        <v>204</v>
      </c>
      <c r="B128" s="64" t="str">
        <f aca="false">IF($B$30=Rates!$H$45,$B$29,$B$30)</f>
        <v>Medium</v>
      </c>
    </row>
    <row r="129" customFormat="false" ht="15" hidden="false" customHeight="true" outlineLevel="0" collapsed="false">
      <c r="A129" s="64" t="s">
        <v>205</v>
      </c>
      <c r="B129" s="70" t="n">
        <f aca="false">$D$6*INDEX(Rates!$B$39:$B$41,MATCH($D$7,Rates!$A$39:$A$41,0))</f>
        <v>70</v>
      </c>
    </row>
    <row r="130" customFormat="false" ht="15" hidden="false" customHeight="true" outlineLevel="0" collapsed="false">
      <c r="A130" s="64" t="s">
        <v>206</v>
      </c>
      <c r="B130" s="65" t="n">
        <f aca="false">IF($B$122=0,1,INDEX(GPU_Price_List!$AC$5:$AC$35,$B$121))</f>
        <v>1</v>
      </c>
    </row>
  </sheetData>
  <mergeCells count="3">
    <mergeCell ref="B56:D56"/>
    <mergeCell ref="B57:D57"/>
    <mergeCell ref="B75:D75"/>
  </mergeCells>
  <dataValidations count="9">
    <dataValidation allowBlank="true" error="Please choose one of the options in the drop-down list." errorStyle="stop" errorTitle="Pick from the list" operator="between" showDropDown="false" showErrorMessage="false" showInputMessage="false" sqref="B7" type="list">
      <formula1>Rates!$E$45:$E$47</formula1>
      <formula2>0</formula2>
    </dataValidation>
    <dataValidation allowBlank="false" error="Please choose one of the options in the drop-down list." errorStyle="stop" errorTitle="Pick from the list" operator="between" showDropDown="false" showErrorMessage="false" showInputMessage="false" sqref="B13" type="list">
      <formula1>Rates!$A$45:$A$47</formula1>
      <formula2>0</formula2>
    </dataValidation>
    <dataValidation allowBlank="false" error="Please choose one of the options in the drop-down list." errorStyle="stop" errorTitle="Pick from the list" operator="between" showDropDown="false" showErrorMessage="false" showInputMessage="false" sqref="B14" type="list">
      <formula1>Rates!$B$45:$B$48</formula1>
      <formula2>0</formula2>
    </dataValidation>
    <dataValidation allowBlank="false" error="Please choose one of the options in the drop-down list." errorStyle="stop" errorTitle="Pick from the list" operator="between" showDropDown="false" showErrorMessage="false" showInputMessage="false" sqref="B15" type="list">
      <formula1>Rates!$G$45:$G$76</formula1>
      <formula2>0</formula2>
    </dataValidation>
    <dataValidation allowBlank="true" error="Please choose one of the options in the drop-down list." errorStyle="stop" errorTitle="Pick from the list" operator="between" showDropDown="false" showErrorMessage="false" showInputMessage="false" sqref="B16" type="list">
      <formula1>Rates!$C$45:$C$47</formula1>
      <formula2>0</formula2>
    </dataValidation>
    <dataValidation allowBlank="false" error="Please choose one of the options in the drop-down list." errorStyle="stop" errorTitle="Pick from the list" operator="between" showDropDown="false" showErrorMessage="false" showInputMessage="false" sqref="B22" type="list">
      <formula1>Rates!$D$45:$D$48</formula1>
      <formula2>0</formula2>
    </dataValidation>
    <dataValidation allowBlank="true" error="Please choose one of the options in the drop-down list." errorStyle="stop" errorTitle="Pick from the list" operator="between" showDropDown="false" showErrorMessage="false" showInputMessage="false" sqref="B26" type="list">
      <formula1>Rates!$F$45:$F$46</formula1>
      <formula2>0</formula2>
    </dataValidation>
    <dataValidation allowBlank="false" error="Please choose one of the options in the drop-down list." errorStyle="stop" errorTitle="Pick from the list" operator="between" showDropDown="false" showErrorMessage="false" showInputMessage="false" sqref="B60" type="list">
      <formula1>Rates!$A$114:$A$134</formula1>
      <formula2>0</formula2>
    </dataValidation>
    <dataValidation allowBlank="false" error="Please choose one of the options in the drop-down list." errorStyle="stop" errorTitle="Pick from the list" operator="between" showDropDown="false" showErrorMessage="false" showInputMessage="false" sqref="B30" type="list">
      <formula1>Rates!$H$45:$H$48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24"/>
    <col collapsed="false" customWidth="true" hidden="false" outlineLevel="0" max="3" min="3" style="1" width="60"/>
  </cols>
  <sheetData>
    <row r="1" customFormat="false" ht="19.5" hidden="false" customHeight="true" outlineLevel="0" collapsed="false">
      <c r="A1" s="24" t="s">
        <v>207</v>
      </c>
    </row>
    <row r="2" customFormat="false" ht="15" hidden="false" customHeight="true" outlineLevel="0" collapsed="false">
      <c r="A2" s="25" t="s">
        <v>208</v>
      </c>
    </row>
    <row r="3" customFormat="false" ht="15" hidden="false" customHeight="true" outlineLevel="0" collapsed="false">
      <c r="A3" s="10" t="s">
        <v>209</v>
      </c>
    </row>
    <row r="5" customFormat="false" ht="15" hidden="false" customHeight="true" outlineLevel="0" collapsed="false">
      <c r="A5" s="26" t="s">
        <v>210</v>
      </c>
      <c r="B5" s="26"/>
      <c r="C5" s="26"/>
    </row>
    <row r="6" customFormat="false" ht="15" hidden="false" customHeight="true" outlineLevel="0" collapsed="false">
      <c r="A6" s="18" t="s">
        <v>211</v>
      </c>
      <c r="B6" s="27" t="s">
        <v>212</v>
      </c>
      <c r="C6" s="10" t="s">
        <v>213</v>
      </c>
    </row>
    <row r="7" customFormat="false" ht="15" hidden="false" customHeight="true" outlineLevel="0" collapsed="false">
      <c r="A7" s="6" t="s">
        <v>214</v>
      </c>
      <c r="B7" s="49" t="n">
        <v>500000</v>
      </c>
      <c r="C7" s="10" t="s">
        <v>215</v>
      </c>
    </row>
    <row r="8" customFormat="false" ht="15" hidden="false" customHeight="true" outlineLevel="0" collapsed="false">
      <c r="A8" s="6" t="s">
        <v>216</v>
      </c>
      <c r="B8" s="49" t="n">
        <v>800</v>
      </c>
      <c r="C8" s="10" t="s">
        <v>217</v>
      </c>
    </row>
    <row r="9" customFormat="false" ht="15" hidden="false" customHeight="true" outlineLevel="0" collapsed="false">
      <c r="A9" s="6" t="s">
        <v>218</v>
      </c>
      <c r="B9" s="49" t="n">
        <v>400</v>
      </c>
      <c r="C9" s="10" t="s">
        <v>219</v>
      </c>
    </row>
    <row r="10" customFormat="false" ht="15" hidden="false" customHeight="true" outlineLevel="0" collapsed="false">
      <c r="A10" s="6" t="s">
        <v>220</v>
      </c>
      <c r="B10" s="53" t="n">
        <v>3</v>
      </c>
      <c r="C10" s="10" t="s">
        <v>221</v>
      </c>
    </row>
    <row r="12" customFormat="false" ht="15" hidden="false" customHeight="true" outlineLevel="0" collapsed="false">
      <c r="A12" s="26" t="s">
        <v>222</v>
      </c>
      <c r="B12" s="26"/>
      <c r="C12" s="26"/>
    </row>
    <row r="13" customFormat="false" ht="15" hidden="false" customHeight="true" outlineLevel="0" collapsed="false">
      <c r="A13" s="6" t="s">
        <v>182</v>
      </c>
      <c r="B13" s="35" t="n">
        <f aca="false">$B$7*$B$9</f>
        <v>200000000</v>
      </c>
    </row>
    <row r="14" customFormat="false" ht="15" hidden="false" customHeight="true" outlineLevel="0" collapsed="false">
      <c r="A14" s="6" t="s">
        <v>223</v>
      </c>
      <c r="B14" s="35" t="n">
        <f aca="false">$B$9+$B$8/Rates!$B$110</f>
        <v>480</v>
      </c>
      <c r="C14" s="10" t="s">
        <v>224</v>
      </c>
    </row>
    <row r="15" customFormat="false" ht="15" hidden="false" customHeight="true" outlineLevel="0" collapsed="false">
      <c r="A15" s="6" t="s">
        <v>225</v>
      </c>
      <c r="B15" s="71" t="n">
        <f aca="false">IFERROR($B$7*$B$14/(Calculator!$D$17*Calculator!$D$18*3600),0)</f>
        <v>91.3141938782964</v>
      </c>
      <c r="C15" s="10" t="s">
        <v>226</v>
      </c>
    </row>
    <row r="16" customFormat="false" ht="15" hidden="false" customHeight="true" outlineLevel="0" collapsed="false">
      <c r="A16" s="18" t="s">
        <v>227</v>
      </c>
      <c r="B16" s="72" t="n">
        <f aca="false">IF($B$6=Rates!$I$46,0,$B$15*$B$10)</f>
        <v>273.942581634889</v>
      </c>
      <c r="C16" s="10" t="s">
        <v>228</v>
      </c>
    </row>
    <row r="18" customFormat="false" ht="15" hidden="false" customHeight="true" outlineLevel="0" collapsed="false">
      <c r="A18" s="26" t="s">
        <v>229</v>
      </c>
      <c r="B18" s="26"/>
      <c r="C18" s="26"/>
    </row>
    <row r="19" customFormat="false" ht="15" hidden="false" customHeight="true" outlineLevel="0" collapsed="false">
      <c r="A19" s="18" t="s">
        <v>230</v>
      </c>
      <c r="B19" s="37" t="str">
        <f aca="false">Calculator!$B$36</f>
        <v>Standard_NC40ads_H100_v5</v>
      </c>
    </row>
    <row r="20" customFormat="false" ht="15" hidden="false" customHeight="true" outlineLevel="0" collapsed="false">
      <c r="A20" s="6" t="s">
        <v>231</v>
      </c>
      <c r="B20" s="35" t="n">
        <f aca="false">IF(Calculator!$B$122=0,0,INDEX(GPU_Price_List!$AA$5:$AA$35,Calculator!$B$121))</f>
        <v>3900</v>
      </c>
      <c r="C20" s="10" t="s">
        <v>232</v>
      </c>
    </row>
    <row r="21" customFormat="false" ht="15" hidden="false" customHeight="true" outlineLevel="0" collapsed="false">
      <c r="A21" s="6" t="s">
        <v>233</v>
      </c>
      <c r="B21" s="71" t="n">
        <f aca="false">Calculator!$B$129</f>
        <v>70</v>
      </c>
    </row>
    <row r="22" customFormat="false" ht="15" hidden="false" customHeight="true" outlineLevel="0" collapsed="false">
      <c r="A22" s="18" t="s">
        <v>234</v>
      </c>
      <c r="B22" s="55" t="n">
        <f aca="false">IF(Calculator!$B$122=0,0,INDEX(GPU_Price_List!$AB$5:$AB$35,Calculator!$B$121))</f>
        <v>624</v>
      </c>
      <c r="C22" s="10" t="s">
        <v>235</v>
      </c>
    </row>
    <row r="23" customFormat="false" ht="15" hidden="false" customHeight="true" outlineLevel="0" collapsed="false">
      <c r="A23" s="18" t="s">
        <v>236</v>
      </c>
      <c r="B23" s="73" t="n">
        <f aca="false">Calculator!$B$130</f>
        <v>1</v>
      </c>
    </row>
    <row r="24" customFormat="false" ht="15" hidden="false" customHeight="true" outlineLevel="0" collapsed="false">
      <c r="A24" s="6" t="s">
        <v>237</v>
      </c>
      <c r="B24" s="35" t="n">
        <f aca="false">Calculator!$D$9</f>
        <v>1</v>
      </c>
      <c r="C24" s="10" t="s">
        <v>238</v>
      </c>
    </row>
    <row r="25" customFormat="false" ht="15" hidden="false" customHeight="true" outlineLevel="0" collapsed="false">
      <c r="A25" s="6" t="s">
        <v>239</v>
      </c>
      <c r="B25" s="71" t="n">
        <f aca="false">IFERROR($B$20/$B$21*Rates!$B$109,0)</f>
        <v>39</v>
      </c>
      <c r="C25" s="10" t="s">
        <v>240</v>
      </c>
    </row>
    <row r="26" customFormat="false" ht="15" hidden="false" customHeight="true" outlineLevel="0" collapsed="false">
      <c r="A26" s="6" t="s">
        <v>241</v>
      </c>
      <c r="B26" s="74" t="n">
        <f aca="false">IFERROR($B$22*$B$24/$B$16-1,0)</f>
        <v>1.2778496</v>
      </c>
      <c r="C26" s="10" t="s">
        <v>242</v>
      </c>
    </row>
    <row r="28" customFormat="false" ht="15" hidden="false" customHeight="true" outlineLevel="0" collapsed="false">
      <c r="A28" s="26" t="s">
        <v>243</v>
      </c>
      <c r="B28" s="26"/>
      <c r="C28" s="26"/>
    </row>
    <row r="29" customFormat="false" ht="15" hidden="false" customHeight="true" outlineLevel="0" collapsed="false">
      <c r="A29" s="6" t="s">
        <v>244</v>
      </c>
      <c r="B29" s="38" t="n">
        <f aca="false">Calculator!$B$53</f>
        <v>12261.7584</v>
      </c>
    </row>
    <row r="30" customFormat="false" ht="15" hidden="false" customHeight="true" outlineLevel="0" collapsed="false">
      <c r="A30" s="6" t="s">
        <v>245</v>
      </c>
      <c r="B30" s="71" t="n">
        <f aca="false">$B$13/1000000</f>
        <v>200</v>
      </c>
    </row>
    <row r="31" customFormat="false" ht="15" hidden="false" customHeight="true" outlineLevel="0" collapsed="false">
      <c r="A31" s="45" t="s">
        <v>34</v>
      </c>
      <c r="B31" s="75" t="n">
        <f aca="false">IFERROR($B$29/$B$30,0)</f>
        <v>61.308792</v>
      </c>
      <c r="C31" s="10" t="s">
        <v>246</v>
      </c>
    </row>
    <row r="32" customFormat="false" ht="15" hidden="false" customHeight="true" outlineLevel="0" collapsed="false">
      <c r="A32" s="18" t="s">
        <v>36</v>
      </c>
      <c r="B32" s="58" t="n">
        <f aca="false">IFERROR($B$29/$B$7*1000,0)</f>
        <v>24.5235168</v>
      </c>
    </row>
    <row r="33" customFormat="false" ht="15" hidden="false" customHeight="true" outlineLevel="0" collapsed="false">
      <c r="A33" s="6" t="s">
        <v>247</v>
      </c>
      <c r="B33" s="76" t="n">
        <f aca="false">IFERROR($B$29/$B$7,0)</f>
        <v>0.0245235168</v>
      </c>
    </row>
    <row r="35" customFormat="false" ht="15" hidden="false" customHeight="true" outlineLevel="0" collapsed="false">
      <c r="A35" s="8" t="s">
        <v>27</v>
      </c>
      <c r="B35" s="42" t="str">
        <f aca="false">IF($B$6=Rates!$I$46,"Inference sizing is switched off. The workbook is sizing on memory only.",IF(Calculator!$B$122=0,"No machine has enough memory for this model yet - fix that on the Calculator first.",IF($B$23&gt;1,"This load needs "&amp;$B$23&amp;" of these machines to keep up at peak. "&amp;"One machine generates about "&amp;TEXT($B$22,"#,##0")&amp;" tokens a second and the peak needs "&amp;TEXT($B$16,"#,##0")&amp;". The cost above already includes all "&amp;$B$23&amp;".","One machine is enough: it generates about "&amp;TEXT($B$22,"#,##0")&amp;" tokens a second against a peak need of "&amp;TEXT($B$16,"#,##0")&amp;".")))</f>
        <v>One machine is enough: it generates about 624 tokens a second against a peak need of 274.</v>
      </c>
      <c r="C35" s="42"/>
    </row>
    <row r="36" customFormat="false" ht="15" hidden="false" customHeight="true" outlineLevel="0" collapsed="false">
      <c r="B36" s="42"/>
      <c r="C36" s="42"/>
    </row>
    <row r="37" customFormat="false" ht="15" hidden="false" customHeight="true" outlineLevel="0" collapsed="false">
      <c r="B37" s="42"/>
      <c r="C37" s="42"/>
    </row>
    <row r="39" customFormat="false" ht="15" hidden="false" customHeight="true" outlineLevel="0" collapsed="false">
      <c r="A39" s="18" t="s">
        <v>248</v>
      </c>
    </row>
    <row r="40" customFormat="false" ht="24" hidden="false" customHeight="true" outlineLevel="0" collapsed="false">
      <c r="A40" s="34" t="s">
        <v>249</v>
      </c>
      <c r="B40" s="34"/>
      <c r="C40" s="34"/>
    </row>
    <row r="41" customFormat="false" ht="24" hidden="false" customHeight="true" outlineLevel="0" collapsed="false">
      <c r="A41" s="34" t="s">
        <v>250</v>
      </c>
      <c r="B41" s="34"/>
      <c r="C41" s="34"/>
    </row>
    <row r="42" customFormat="false" ht="24" hidden="false" customHeight="true" outlineLevel="0" collapsed="false">
      <c r="A42" s="34" t="s">
        <v>251</v>
      </c>
      <c r="B42" s="34"/>
      <c r="C42" s="34"/>
    </row>
    <row r="43" customFormat="false" ht="24" hidden="false" customHeight="true" outlineLevel="0" collapsed="false">
      <c r="A43" s="34" t="s">
        <v>252</v>
      </c>
      <c r="B43" s="34"/>
      <c r="C43" s="34"/>
    </row>
    <row r="44" customFormat="false" ht="24" hidden="false" customHeight="true" outlineLevel="0" collapsed="false">
      <c r="A44" s="34" t="s">
        <v>253</v>
      </c>
      <c r="B44" s="34"/>
      <c r="C44" s="34"/>
    </row>
    <row r="45" customFormat="false" ht="24" hidden="false" customHeight="true" outlineLevel="0" collapsed="false">
      <c r="A45" s="34" t="s">
        <v>254</v>
      </c>
      <c r="B45" s="34"/>
      <c r="C45" s="34"/>
    </row>
  </sheetData>
  <mergeCells count="7">
    <mergeCell ref="B35:C37"/>
    <mergeCell ref="A40:C40"/>
    <mergeCell ref="A41:C41"/>
    <mergeCell ref="A42:C42"/>
    <mergeCell ref="A43:C43"/>
    <mergeCell ref="A44:C44"/>
    <mergeCell ref="A45:C45"/>
  </mergeCells>
  <dataValidations count="1">
    <dataValidation allowBlank="false" error="Please choose one of the options in the drop-down list." errorStyle="stop" errorTitle="Pick from the list" operator="between" showDropDown="false" showErrorMessage="false" showInputMessage="false" sqref="B6" type="list">
      <formula1>Rates!$I$45:$I$46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3" min="2" style="1" width="30"/>
    <col collapsed="false" customWidth="true" hidden="false" outlineLevel="0" max="4" min="4" style="1" width="46"/>
  </cols>
  <sheetData>
    <row r="1" customFormat="false" ht="17.25" hidden="false" customHeight="true" outlineLevel="0" collapsed="false">
      <c r="A1" s="77" t="s">
        <v>255</v>
      </c>
    </row>
    <row r="2" customFormat="false" ht="15" hidden="false" customHeight="true" outlineLevel="0" collapsed="false">
      <c r="A2" s="47" t="s">
        <v>256</v>
      </c>
    </row>
    <row r="4" customFormat="false" ht="15" hidden="false" customHeight="true" outlineLevel="0" collapsed="false">
      <c r="A4" s="78" t="s">
        <v>257</v>
      </c>
      <c r="B4" s="78" t="s">
        <v>258</v>
      </c>
      <c r="C4" s="78" t="s">
        <v>259</v>
      </c>
      <c r="D4" s="78" t="s">
        <v>260</v>
      </c>
    </row>
    <row r="5" customFormat="false" ht="15" hidden="false" customHeight="true" outlineLevel="0" collapsed="false">
      <c r="A5" s="18" t="s">
        <v>74</v>
      </c>
      <c r="B5" s="79" t="str">
        <f aca="false">IF($B$62=0,"-",INDEX(GPU_Price_List!$H$5:$H$35,$B$60))</f>
        <v>g2-standard-96</v>
      </c>
      <c r="C5" s="79" t="str">
        <f aca="false">IF($B$63=0,"-",INDEX(GPU_Price_List!$H$5:$H$35,$B$61))</f>
        <v>Standard_NC40ads_H100_v5</v>
      </c>
    </row>
    <row r="6" customFormat="false" ht="15" hidden="false" customHeight="true" outlineLevel="0" collapsed="false">
      <c r="A6" s="6" t="s">
        <v>10</v>
      </c>
      <c r="B6" s="80" t="str">
        <f aca="false">IF($B$62=0,"-",INDEX(GPU_Price_List!$D$5:$D$35,$B$60))</f>
        <v>NVIDIA L4</v>
      </c>
      <c r="C6" s="80" t="str">
        <f aca="false">IF($B$63=0,"-",INDEX(GPU_Price_List!$D$5:$D$35,$B$61))</f>
        <v>NVIDIA H100 NVL</v>
      </c>
    </row>
    <row r="7" customFormat="false" ht="15" hidden="false" customHeight="true" outlineLevel="0" collapsed="false">
      <c r="A7" s="6" t="s">
        <v>153</v>
      </c>
      <c r="B7" s="81" t="n">
        <f aca="false">IF($B$62=0,0,INDEX(GPU_Price_List!$F$5:$F$35,$B$60))</f>
        <v>8</v>
      </c>
      <c r="C7" s="81" t="n">
        <f aca="false">IF($B$63=0,0,INDEX(GPU_Price_List!$F$5:$F$35,$B$61))</f>
        <v>1</v>
      </c>
    </row>
    <row r="8" customFormat="false" ht="15" hidden="false" customHeight="true" outlineLevel="0" collapsed="false">
      <c r="A8" s="6" t="s">
        <v>261</v>
      </c>
      <c r="B8" s="81" t="n">
        <f aca="false">IF($B$62=0,0,INDEX(GPU_Price_List!$G$5:$G$35,$B$60))</f>
        <v>192</v>
      </c>
      <c r="C8" s="81" t="n">
        <f aca="false">IF($B$63=0,0,INDEX(GPU_Price_List!$G$5:$G$35,$B$61))</f>
        <v>94</v>
      </c>
      <c r="D8" s="10" t="s">
        <v>262</v>
      </c>
    </row>
    <row r="9" customFormat="false" ht="15" hidden="false" customHeight="true" outlineLevel="0" collapsed="false">
      <c r="A9" s="6" t="s">
        <v>263</v>
      </c>
      <c r="B9" s="81" t="n">
        <f aca="false">IF($B$62=0,0,INDEX(GPU_Price_List!$I$5:$I$35,$B$60))</f>
        <v>96</v>
      </c>
      <c r="C9" s="81" t="n">
        <f aca="false">IF($B$63=0,0,INDEX(GPU_Price_List!$I$5:$I$35,$B$61))</f>
        <v>40</v>
      </c>
    </row>
    <row r="10" customFormat="false" ht="15" hidden="false" customHeight="true" outlineLevel="0" collapsed="false">
      <c r="A10" s="6" t="s">
        <v>264</v>
      </c>
      <c r="B10" s="81" t="n">
        <f aca="false">IF($B$62=0,0,INDEX(GPU_Price_List!$J$5:$J$35,$B$60))</f>
        <v>384</v>
      </c>
      <c r="C10" s="81" t="n">
        <f aca="false">IF($B$63=0,0,INDEX(GPU_Price_List!$J$5:$J$35,$B$61))</f>
        <v>320</v>
      </c>
    </row>
    <row r="11" customFormat="false" ht="15" hidden="false" customHeight="true" outlineLevel="0" collapsed="false">
      <c r="A11" s="6" t="s">
        <v>157</v>
      </c>
      <c r="B11" s="82" t="n">
        <f aca="false">IF($B$62=0,0,INDEX(GPU_Price_List!$K$5:$K$35,$B$60))</f>
        <v>8.0033</v>
      </c>
      <c r="C11" s="82" t="n">
        <f aca="false">IF($B$63=0,0,INDEX(GPU_Price_List!$K$5:$K$35,$B$61))</f>
        <v>6.98</v>
      </c>
    </row>
    <row r="12" customFormat="false" ht="15" hidden="false" customHeight="true" outlineLevel="0" collapsed="false">
      <c r="A12" s="18" t="s">
        <v>158</v>
      </c>
      <c r="B12" s="83" t="n">
        <f aca="false">IF($B$62=0,0,INDEX(GPU_Price_List!$T$5:$T$35,$B$60)*$B$64)</f>
        <v>8.0033</v>
      </c>
      <c r="C12" s="83" t="n">
        <f aca="false">IF($B$63=0,0,INDEX(GPU_Price_List!$T$5:$T$35,$B$61)*$B$65)</f>
        <v>6.98</v>
      </c>
    </row>
    <row r="13" customFormat="false" ht="15" hidden="false" customHeight="true" outlineLevel="0" collapsed="false">
      <c r="A13" s="6" t="s">
        <v>159</v>
      </c>
      <c r="B13" s="81" t="n">
        <f aca="false">Calculator!$B$45</f>
        <v>730.08</v>
      </c>
      <c r="C13" s="81" t="n">
        <f aca="false">Calculator!$B$45</f>
        <v>730.08</v>
      </c>
    </row>
    <row r="14" customFormat="false" ht="15" hidden="false" customHeight="true" outlineLevel="0" collapsed="false">
      <c r="A14" s="6" t="s">
        <v>265</v>
      </c>
      <c r="B14" s="81" t="n">
        <f aca="false">Calculator!$D$9</f>
        <v>1</v>
      </c>
      <c r="C14" s="81" t="n">
        <f aca="false">Calculator!$D$9</f>
        <v>1</v>
      </c>
    </row>
    <row r="16" customFormat="false" ht="15" hidden="false" customHeight="true" outlineLevel="0" collapsed="false">
      <c r="A16" s="26" t="s">
        <v>266</v>
      </c>
      <c r="B16" s="26"/>
      <c r="C16" s="26"/>
      <c r="D16" s="26"/>
    </row>
    <row r="17" customFormat="false" ht="15" hidden="false" customHeight="true" outlineLevel="0" collapsed="false">
      <c r="A17" s="6" t="s">
        <v>267</v>
      </c>
      <c r="B17" s="84" t="n">
        <f aca="false">B12*B13*B14</f>
        <v>5843.049264</v>
      </c>
      <c r="C17" s="84" t="n">
        <f aca="false">C12*C13*C14</f>
        <v>5095.9584</v>
      </c>
    </row>
    <row r="18" customFormat="false" ht="15" hidden="false" customHeight="true" outlineLevel="0" collapsed="false">
      <c r="A18" s="6" t="s">
        <v>18</v>
      </c>
      <c r="B18" s="84" t="n">
        <f aca="false">IF($B$62=0,0,Calculator!$D$21*Calculator!$D$9*INDEX(Rates!$B$6:$B$9,MATCH(Calculator!$B$22,Rates!$A$6:$A$9,0)))</f>
        <v>50</v>
      </c>
      <c r="C18" s="84" t="n">
        <f aca="false">IF($B$63=0,0,Calculator!$D$21*Calculator!$D$9*INDEX(Rates!$C$6:$C$9,MATCH(Calculator!$B$22,Rates!$A$6:$A$9,0)))</f>
        <v>40.5</v>
      </c>
      <c r="D18" s="10" t="s">
        <v>268</v>
      </c>
    </row>
    <row r="19" customFormat="false" ht="15" hidden="false" customHeight="true" outlineLevel="0" collapsed="false">
      <c r="A19" s="6" t="s">
        <v>19</v>
      </c>
      <c r="B19" s="84" t="n">
        <f aca="false">IF($B$62=0,0,Calculator!$B$126)</f>
        <v>230.12</v>
      </c>
      <c r="C19" s="84" t="n">
        <f aca="false">IF($B$63=0,0,Calculator!$B$127)</f>
        <v>165.3</v>
      </c>
      <c r="D19" s="10" t="s">
        <v>269</v>
      </c>
    </row>
    <row r="20" customFormat="false" ht="15" hidden="false" customHeight="true" outlineLevel="0" collapsed="false">
      <c r="A20" s="6" t="s">
        <v>166</v>
      </c>
      <c r="B20" s="84" t="n">
        <f aca="false">IF(Calculator!$D$26=Rates!$F$46,B17*Rates!$B$34,0)</f>
        <v>0</v>
      </c>
      <c r="C20" s="84" t="n">
        <f aca="false">IF(Calculator!$D$26=Rates!$F$46,C17*Rates!$B$35,0)</f>
        <v>0</v>
      </c>
    </row>
    <row r="21" customFormat="false" ht="15" hidden="false" customHeight="true" outlineLevel="0" collapsed="false">
      <c r="A21" s="6" t="s">
        <v>21</v>
      </c>
      <c r="B21" s="84" t="n">
        <f aca="false">Calculator!$B$52</f>
        <v>6960</v>
      </c>
      <c r="C21" s="84" t="n">
        <f aca="false">Calculator!$B$52</f>
        <v>6960</v>
      </c>
      <c r="D21" s="10" t="s">
        <v>270</v>
      </c>
    </row>
    <row r="22" customFormat="false" ht="15" hidden="false" customHeight="true" outlineLevel="0" collapsed="false">
      <c r="A22" s="18" t="s">
        <v>22</v>
      </c>
      <c r="B22" s="85" t="n">
        <f aca="false">SUM(B17:B21)</f>
        <v>13083.169264</v>
      </c>
      <c r="C22" s="85" t="n">
        <f aca="false">SUM(C17:C21)</f>
        <v>12261.7584</v>
      </c>
    </row>
    <row r="23" customFormat="false" ht="15" hidden="false" customHeight="true" outlineLevel="0" collapsed="false">
      <c r="A23" s="18" t="s">
        <v>23</v>
      </c>
      <c r="B23" s="85" t="n">
        <f aca="false">B22*12</f>
        <v>156998.031168</v>
      </c>
      <c r="C23" s="85" t="n">
        <f aca="false">C22*12</f>
        <v>147141.1008</v>
      </c>
    </row>
    <row r="25" customFormat="false" ht="30" hidden="false" customHeight="true" outlineLevel="0" collapsed="false">
      <c r="A25" s="8" t="s">
        <v>271</v>
      </c>
      <c r="B25" s="86" t="str">
        <f aca="false">IF(AND($B$62=0,$B$63=0),"Neither cloud has a single machine with enough GPU memory. Use INT4, a smaller model, or plan on splitting the model across several machines.",IF($B$62=0,"Only Microsoft Azure has a machine big enough for this model.",IF($B$63=0,"Only Google Cloud has a machine big enough for this model.",IF(B22&lt;C22,"Google Cloud saves about $"&amp;TEXT(C22-B22,"#,##0")&amp;" per month ("&amp;TEXT(1-B22/C22,"0.0%")&amp;" less)",IF(C22&lt;B22,"Microsoft Azure saves about $"&amp;TEXT(B22-C22,"#,##0")&amp;" per month ("&amp;TEXT(1-C22/B22,"0.0%")&amp;" less)","The two are within a dollar of each other")))))</f>
        <v>Microsoft Azure saves about $821 per month (6.3% less)</v>
      </c>
      <c r="C25" s="86"/>
      <c r="D25" s="86"/>
    </row>
    <row r="27" customFormat="false" ht="15" hidden="false" customHeight="true" outlineLevel="0" collapsed="false">
      <c r="A27" s="87" t="s">
        <v>272</v>
      </c>
      <c r="B27" s="87"/>
      <c r="C27" s="87"/>
      <c r="D27" s="87"/>
    </row>
    <row r="28" customFormat="false" ht="15" hidden="false" customHeight="true" outlineLevel="0" collapsed="false">
      <c r="A28" s="87"/>
      <c r="B28" s="87"/>
      <c r="C28" s="87"/>
      <c r="D28" s="87"/>
    </row>
    <row r="29" customFormat="false" ht="15" hidden="false" customHeight="true" outlineLevel="0" collapsed="false">
      <c r="A29" s="87"/>
      <c r="B29" s="87"/>
      <c r="C29" s="87"/>
      <c r="D29" s="87"/>
    </row>
    <row r="31" customFormat="false" ht="15" hidden="false" customHeight="true" outlineLevel="0" collapsed="false">
      <c r="A31" s="26" t="s">
        <v>273</v>
      </c>
      <c r="B31" s="26"/>
      <c r="C31" s="26"/>
      <c r="D31" s="26"/>
    </row>
    <row r="32" customFormat="false" ht="15" hidden="false" customHeight="true" outlineLevel="0" collapsed="false">
      <c r="A32" s="18" t="s">
        <v>274</v>
      </c>
      <c r="B32" s="79" t="str">
        <f aca="false">IFERROR(INDEX(Rates!$A$114:$A$134,MATCH(MIN(Rates!$J$114:$J$134),Rates!$J$114:$J$134,0)),"-")</f>
        <v>Gemini 2.5 Flash-Lite</v>
      </c>
      <c r="C32" s="79" t="str">
        <f aca="false">IFERROR(INDEX(Rates!$A$114:$A$134,MATCH(MIN(Rates!$K$114:$K$134),Rates!$K$114:$K$134,0)),"-")</f>
        <v>GPT-5.6 Luna</v>
      </c>
    </row>
    <row r="33" customFormat="false" ht="15" hidden="false" customHeight="true" outlineLevel="0" collapsed="false">
      <c r="A33" s="6" t="s">
        <v>90</v>
      </c>
      <c r="B33" s="84" t="n">
        <f aca="false">MIN(Rates!$J$114:$J$134)</f>
        <v>120</v>
      </c>
      <c r="C33" s="84" t="n">
        <f aca="false">MIN(Rates!$K$114:$K$134)</f>
        <v>320</v>
      </c>
    </row>
    <row r="34" customFormat="false" ht="15" hidden="false" customHeight="true" outlineLevel="0" collapsed="false">
      <c r="A34" s="6" t="s">
        <v>21</v>
      </c>
      <c r="B34" s="84" t="n">
        <f aca="false">Calculator!$B$69</f>
        <v>2320</v>
      </c>
      <c r="C34" s="84" t="n">
        <f aca="false">Calculator!$B$69</f>
        <v>2320</v>
      </c>
      <c r="D34" s="10" t="s">
        <v>275</v>
      </c>
    </row>
    <row r="35" customFormat="false" ht="15" hidden="false" customHeight="true" outlineLevel="0" collapsed="false">
      <c r="A35" s="18" t="s">
        <v>185</v>
      </c>
      <c r="B35" s="85" t="n">
        <f aca="false">B33+B34</f>
        <v>2440</v>
      </c>
      <c r="C35" s="85" t="n">
        <f aca="false">C33+C34</f>
        <v>2640</v>
      </c>
    </row>
    <row r="36" customFormat="false" ht="15" hidden="false" customHeight="true" outlineLevel="0" collapsed="false">
      <c r="A36" s="6" t="s">
        <v>276</v>
      </c>
      <c r="B36" s="88" t="n">
        <f aca="false">B22</f>
        <v>13083.169264</v>
      </c>
      <c r="C36" s="88" t="n">
        <f aca="false">C22</f>
        <v>12261.7584</v>
      </c>
    </row>
    <row r="37" customFormat="false" ht="15" hidden="false" customHeight="true" outlineLevel="0" collapsed="false">
      <c r="A37" s="18" t="s">
        <v>277</v>
      </c>
      <c r="B37" s="79" t="str">
        <f aca="false">IF(B35&lt;B22,"Pay per token","Self-host")</f>
        <v>Pay per token</v>
      </c>
      <c r="C37" s="79" t="str">
        <f aca="false">IF(C35&lt;C22,"Pay per token","Self-host")</f>
        <v>Pay per token</v>
      </c>
    </row>
    <row r="39" customFormat="false" ht="30" hidden="false" customHeight="true" outlineLevel="0" collapsed="false">
      <c r="A39" s="8" t="s">
        <v>278</v>
      </c>
      <c r="B39" s="86" t="str">
        <f aca="false">IF(Inference!$B$7&lt;=0,"Enter your expected traffic on the Inference tab to compare against pay-per-token pricing.","Cheapest overall: "&amp;IF(MIN($B$22,$C$22,$B$35,$C$35)=$B$35,"pay per token on Google Cloud using "&amp;$B$32,IF(MIN($B$22,$C$22,$B$35,$C$35)=$C$35,"pay per token on Azure using "&amp;$C$32,IF(MIN($B$22,$C$22,$B$35,$C$35)=$B$22,"self-hosting on Google Cloud on "&amp;$B$5,"self-hosting on Azure on "&amp;$C$5)))&amp;"  at about $"&amp;TEXT(MIN($B$22,$C$22,$B$35,$C$35),"#,##0")&amp;" per month, versus $"&amp;TEXT(MAX($B$22,$C$22,$B$35,$C$35),"#,##0")&amp;" for the most expensive of the four.")</f>
        <v>Cheapest overall: pay per token on Google Cloud using Gemini 2.5 Flash-Lite  at about $2,440 per month, versus $13,083 for the most expensive of the four.</v>
      </c>
      <c r="C39" s="86"/>
      <c r="D39" s="86"/>
    </row>
    <row r="40" customFormat="false" ht="15" hidden="false" customHeight="true" outlineLevel="0" collapsed="false">
      <c r="B40" s="86"/>
      <c r="C40" s="86"/>
      <c r="D40" s="86"/>
    </row>
    <row r="42" customFormat="false" ht="15" hidden="false" customHeight="true" outlineLevel="0" collapsed="false">
      <c r="A42" s="87" t="s">
        <v>279</v>
      </c>
      <c r="B42" s="87"/>
      <c r="C42" s="87"/>
      <c r="D42" s="87"/>
    </row>
    <row r="43" customFormat="false" ht="15" hidden="false" customHeight="true" outlineLevel="0" collapsed="false">
      <c r="A43" s="87"/>
      <c r="B43" s="87"/>
      <c r="C43" s="87"/>
      <c r="D43" s="87"/>
    </row>
    <row r="44" customFormat="false" ht="15" hidden="false" customHeight="true" outlineLevel="0" collapsed="false">
      <c r="A44" s="87"/>
      <c r="B44" s="87"/>
      <c r="C44" s="87"/>
      <c r="D44" s="87"/>
    </row>
    <row r="60" customFormat="false" ht="15" hidden="false" customHeight="true" outlineLevel="0" collapsed="false">
      <c r="A60" s="64" t="s">
        <v>280</v>
      </c>
      <c r="B60" s="64" t="n">
        <f aca="false">IFERROR(MATCH(MIN(GPU_Price_List!$X$5:$X$35),GPU_Price_List!$X$5:$X$35,0),0)</f>
        <v>11</v>
      </c>
    </row>
    <row r="61" customFormat="false" ht="15" hidden="false" customHeight="true" outlineLevel="0" collapsed="false">
      <c r="A61" s="64" t="s">
        <v>281</v>
      </c>
      <c r="B61" s="64" t="n">
        <f aca="false">IFERROR(MATCH(MIN(GPU_Price_List!$Y$5:$Y$35),GPU_Price_List!$Y$5:$Y$35,0),0)</f>
        <v>24</v>
      </c>
    </row>
    <row r="62" customFormat="false" ht="15" hidden="false" customHeight="true" outlineLevel="0" collapsed="false">
      <c r="A62" s="64" t="s">
        <v>282</v>
      </c>
      <c r="B62" s="64" t="n">
        <f aca="false">IF(MIN(GPU_Price_List!$X$5:$X$35)&gt;=1000000000,0,1)</f>
        <v>1</v>
      </c>
    </row>
    <row r="63" customFormat="false" ht="15" hidden="false" customHeight="true" outlineLevel="0" collapsed="false">
      <c r="A63" s="64" t="s">
        <v>283</v>
      </c>
      <c r="B63" s="64" t="n">
        <f aca="false">IF(MIN(GPU_Price_List!$Y$5:$Y$35)&gt;=1000000000,0,1)</f>
        <v>1</v>
      </c>
    </row>
    <row r="64" customFormat="false" ht="15" hidden="false" customHeight="true" outlineLevel="0" collapsed="false">
      <c r="A64" s="64" t="s">
        <v>284</v>
      </c>
      <c r="B64" s="67" t="n">
        <f aca="false">INDEX(Rates!$B$21:$B$24,MATCH(Calculator!$B$14,Rates!$A$21:$A$24,0))</f>
        <v>1</v>
      </c>
    </row>
    <row r="65" customFormat="false" ht="15" hidden="false" customHeight="true" outlineLevel="0" collapsed="false">
      <c r="A65" s="64" t="s">
        <v>285</v>
      </c>
      <c r="B65" s="67" t="n">
        <f aca="false">INDEX(Rates!$C$21:$C$24,MATCH(Calculator!$B$14,Rates!$A$21:$A$24,0))</f>
        <v>1</v>
      </c>
    </row>
  </sheetData>
  <mergeCells count="4">
    <mergeCell ref="B25:D25"/>
    <mergeCell ref="A27:D29"/>
    <mergeCell ref="B39:D40"/>
    <mergeCell ref="A42:D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4"/>
    <col collapsed="false" customWidth="true" hidden="false" outlineLevel="0" max="3" min="3" style="1" width="15"/>
    <col collapsed="false" customWidth="true" hidden="false" outlineLevel="0" max="4" min="4" style="1" width="22"/>
    <col collapsed="false" customWidth="true" hidden="false" outlineLevel="0" max="6" min="5" style="1" width="12"/>
    <col collapsed="false" customWidth="true" hidden="false" outlineLevel="0" max="7" min="7" style="1" width="13"/>
    <col collapsed="false" customWidth="true" hidden="false" outlineLevel="0" max="8" min="8" style="1" width="30"/>
    <col collapsed="false" customWidth="true" hidden="false" outlineLevel="0" max="9" min="9" style="1" width="8"/>
    <col collapsed="false" customWidth="true" hidden="false" outlineLevel="0" max="10" min="10" style="1" width="10"/>
    <col collapsed="false" customWidth="true" hidden="false" outlineLevel="0" max="11" min="11" style="1" width="14"/>
    <col collapsed="false" customWidth="true" hidden="false" outlineLevel="0" max="12" min="12" style="1" width="13"/>
    <col collapsed="false" customWidth="true" hidden="false" outlineLevel="0" max="13" min="13" style="1" width="27"/>
    <col collapsed="false" customWidth="true" hidden="false" outlineLevel="0" max="14" min="14" style="1" width="15"/>
    <col collapsed="false" customWidth="true" hidden="false" outlineLevel="0" max="15" min="15" style="1" width="14"/>
    <col collapsed="false" customWidth="true" hidden="false" outlineLevel="0" max="16" min="16" style="1" width="34"/>
    <col collapsed="false" customWidth="true" hidden="false" outlineLevel="0" max="17" min="17" style="1" width="24"/>
    <col collapsed="false" customWidth="true" hidden="false" outlineLevel="0" max="18" min="18" style="1" width="52"/>
    <col collapsed="false" customWidth="true" hidden="false" outlineLevel="0" max="19" min="19" style="1" width="44"/>
    <col collapsed="false" customWidth="true" hidden="false" outlineLevel="0" max="22" min="20" style="1" width="12"/>
    <col collapsed="false" customWidth="true" hidden="false" outlineLevel="0" max="25" min="23" style="1" width="14"/>
    <col collapsed="false" customWidth="true" hidden="false" outlineLevel="0" max="27" min="26" style="1" width="13"/>
    <col collapsed="false" customWidth="true" hidden="false" outlineLevel="0" max="30" min="28" style="1" width="15"/>
  </cols>
  <sheetData>
    <row r="1" customFormat="false" ht="17.25" hidden="false" customHeight="true" outlineLevel="0" collapsed="false">
      <c r="A1" s="77" t="s">
        <v>286</v>
      </c>
    </row>
    <row r="2" customFormat="false" ht="15" hidden="false" customHeight="true" outlineLevel="0" collapsed="false">
      <c r="A2" s="47" t="s">
        <v>287</v>
      </c>
    </row>
    <row r="3" customFormat="false" ht="15" hidden="false" customHeight="true" outlineLevel="0" collapsed="false">
      <c r="T3" s="63" t="s">
        <v>288</v>
      </c>
      <c r="Z3" s="63" t="s">
        <v>289</v>
      </c>
    </row>
    <row r="4" customFormat="false" ht="43.5" hidden="false" customHeight="true" outlineLevel="0" collapsed="false">
      <c r="A4" s="78" t="s">
        <v>290</v>
      </c>
      <c r="B4" s="78" t="s">
        <v>291</v>
      </c>
      <c r="C4" s="78" t="s">
        <v>8</v>
      </c>
      <c r="D4" s="78" t="s">
        <v>292</v>
      </c>
      <c r="E4" s="78" t="s">
        <v>293</v>
      </c>
      <c r="F4" s="78" t="s">
        <v>153</v>
      </c>
      <c r="G4" s="78" t="s">
        <v>261</v>
      </c>
      <c r="H4" s="78" t="s">
        <v>294</v>
      </c>
      <c r="I4" s="78" t="s">
        <v>263</v>
      </c>
      <c r="J4" s="78" t="s">
        <v>295</v>
      </c>
      <c r="K4" s="78" t="s">
        <v>296</v>
      </c>
      <c r="L4" s="78" t="s">
        <v>297</v>
      </c>
      <c r="M4" s="78" t="s">
        <v>298</v>
      </c>
      <c r="N4" s="78" t="s">
        <v>299</v>
      </c>
      <c r="O4" s="78" t="s">
        <v>300</v>
      </c>
      <c r="P4" s="78" t="s">
        <v>301</v>
      </c>
      <c r="Q4" s="78" t="s">
        <v>302</v>
      </c>
      <c r="R4" s="78" t="s">
        <v>303</v>
      </c>
      <c r="S4" s="78" t="s">
        <v>304</v>
      </c>
      <c r="T4" s="89" t="s">
        <v>305</v>
      </c>
      <c r="U4" s="89" t="s">
        <v>306</v>
      </c>
      <c r="V4" s="89" t="s">
        <v>307</v>
      </c>
      <c r="W4" s="89" t="s">
        <v>308</v>
      </c>
      <c r="X4" s="89" t="s">
        <v>309</v>
      </c>
      <c r="Y4" s="89" t="s">
        <v>310</v>
      </c>
      <c r="Z4" s="89" t="s">
        <v>311</v>
      </c>
      <c r="AA4" s="89" t="s">
        <v>312</v>
      </c>
      <c r="AB4" s="89" t="s">
        <v>313</v>
      </c>
      <c r="AC4" s="89" t="s">
        <v>314</v>
      </c>
      <c r="AD4" s="89" t="s">
        <v>315</v>
      </c>
    </row>
    <row r="5" customFormat="false" ht="15" hidden="false" customHeight="true" outlineLevel="0" collapsed="false">
      <c r="A5" s="90" t="n">
        <v>1</v>
      </c>
      <c r="B5" s="91" t="s">
        <v>316</v>
      </c>
      <c r="C5" s="92" t="s">
        <v>259</v>
      </c>
      <c r="D5" s="92" t="s">
        <v>317</v>
      </c>
      <c r="E5" s="90" t="n">
        <v>16</v>
      </c>
      <c r="F5" s="90" t="n">
        <v>1</v>
      </c>
      <c r="G5" s="90" t="n">
        <f aca="false">E5*F5</f>
        <v>16</v>
      </c>
      <c r="H5" s="92" t="s">
        <v>318</v>
      </c>
      <c r="I5" s="90" t="n">
        <v>4</v>
      </c>
      <c r="J5" s="90" t="n">
        <v>28</v>
      </c>
      <c r="K5" s="93" t="n">
        <v>0.526</v>
      </c>
      <c r="L5" s="93" t="n">
        <v>0.15254</v>
      </c>
      <c r="M5" s="92" t="s">
        <v>319</v>
      </c>
      <c r="N5" s="93" t="n">
        <f aca="false">K5*IF(C5=Rates!$A$45,Rates!$B$29,Rates!$C$29)</f>
        <v>0.3419</v>
      </c>
      <c r="O5" s="94" t="n">
        <f aca="false">K5*Rates!$B$30</f>
        <v>383.98</v>
      </c>
      <c r="P5" s="91" t="s">
        <v>320</v>
      </c>
      <c r="Q5" s="92" t="s">
        <v>321</v>
      </c>
      <c r="R5" s="91" t="s">
        <v>322</v>
      </c>
      <c r="S5" s="92" t="str">
        <f aca="false">C5&amp;" | "&amp;H5</f>
        <v>Microsoft Azure | Standard_NC4as_T4_v3</v>
      </c>
      <c r="T5" s="95" t="n">
        <f aca="false">IF(Calculator!$D$16=Rates!$C$46,L5,IF(Calculator!$D$16=Rates!$C$47,N5,K5))</f>
        <v>0.526</v>
      </c>
      <c r="U5" s="96" t="n">
        <f aca="false">IF(OR(Calculator!$B$13=Rates!$A$47,Calculator!$B$13=C5),1,0)</f>
        <v>1</v>
      </c>
      <c r="V5" s="96" t="n">
        <f aca="false">IF(G5&gt;=Calculator!$B$10,1,0)</f>
        <v>0</v>
      </c>
      <c r="W5" s="97" t="n">
        <f aca="false">IF(AND(U5=1,V5=1),AD5,1000000000)</f>
        <v>1000000000</v>
      </c>
      <c r="X5" s="97" t="n">
        <f aca="false">IF(AND(C5=Rates!$A$45,V5=1),AD5,1000000000)</f>
        <v>1000000000</v>
      </c>
      <c r="Y5" s="97" t="n">
        <f aca="false">IF(AND(C5=Rates!$A$46,V5=1),AD5,1000000000)</f>
        <v>1000000000</v>
      </c>
      <c r="Z5" s="98" t="n">
        <v>320</v>
      </c>
      <c r="AA5" s="99" t="n">
        <f aca="false">Z5*F5</f>
        <v>320</v>
      </c>
      <c r="AB5" s="99" t="n">
        <f aca="false">IFERROR(AA5/Calculator!$B$129*Rates!$B$108*Rates!$B$109,0)</f>
        <v>51.2</v>
      </c>
      <c r="AC5" s="99" t="n">
        <f aca="false">IF(Inference!$B$16&lt;=0,1,IF(AB5&lt;=0,1000000000,MAX(1,ROUNDUP(Inference!$B$16/AB5,0))))</f>
        <v>6</v>
      </c>
      <c r="AD5" s="97" t="n">
        <f aca="false">T5*AC5+AC5/1000000</f>
        <v>3.156006</v>
      </c>
    </row>
    <row r="6" customFormat="false" ht="15" hidden="false" customHeight="true" outlineLevel="0" collapsed="false">
      <c r="A6" s="100" t="n">
        <v>1</v>
      </c>
      <c r="B6" s="101" t="s">
        <v>316</v>
      </c>
      <c r="C6" s="102" t="s">
        <v>258</v>
      </c>
      <c r="D6" s="102" t="s">
        <v>317</v>
      </c>
      <c r="E6" s="100" t="n">
        <v>16</v>
      </c>
      <c r="F6" s="100" t="n">
        <v>1</v>
      </c>
      <c r="G6" s="100" t="n">
        <f aca="false">E6*F6</f>
        <v>16</v>
      </c>
      <c r="H6" s="102" t="s">
        <v>323</v>
      </c>
      <c r="I6" s="100" t="n">
        <v>4</v>
      </c>
      <c r="J6" s="100" t="n">
        <v>15</v>
      </c>
      <c r="K6" s="103" t="n">
        <v>0.54</v>
      </c>
      <c r="L6" s="103" t="n">
        <f aca="false">K6*IF(C6=Rates!$A$45,Rates!$B$28,Rates!$C$28)</f>
        <v>0.1782</v>
      </c>
      <c r="M6" s="102" t="s">
        <v>324</v>
      </c>
      <c r="N6" s="103" t="n">
        <f aca="false">K6*IF(C6=Rates!$A$45,Rates!$B$29,Rates!$C$29)</f>
        <v>0.378</v>
      </c>
      <c r="O6" s="104" t="n">
        <f aca="false">K6*Rates!$B$30</f>
        <v>394.2</v>
      </c>
      <c r="P6" s="101" t="s">
        <v>320</v>
      </c>
      <c r="Q6" s="102" t="s">
        <v>321</v>
      </c>
      <c r="R6" s="101" t="s">
        <v>325</v>
      </c>
      <c r="S6" s="102" t="str">
        <f aca="false">C6&amp;" | "&amp;H6</f>
        <v>Google Cloud | n1-standard-4 + 1x T4</v>
      </c>
      <c r="T6" s="95" t="n">
        <f aca="false">IF(Calculator!$D$16=Rates!$C$46,L6,IF(Calculator!$D$16=Rates!$C$47,N6,K6))</f>
        <v>0.54</v>
      </c>
      <c r="U6" s="96" t="n">
        <f aca="false">IF(OR(Calculator!$B$13=Rates!$A$47,Calculator!$B$13=C6),1,0)</f>
        <v>1</v>
      </c>
      <c r="V6" s="96" t="n">
        <f aca="false">IF(G6&gt;=Calculator!$B$10,1,0)</f>
        <v>0</v>
      </c>
      <c r="W6" s="97" t="n">
        <f aca="false">IF(AND(U6=1,V6=1),AD6,1000000000)</f>
        <v>1000000000</v>
      </c>
      <c r="X6" s="97" t="n">
        <f aca="false">IF(AND(C6=Rates!$A$45,V6=1),AD6,1000000000)</f>
        <v>1000000000</v>
      </c>
      <c r="Y6" s="97" t="n">
        <f aca="false">IF(AND(C6=Rates!$A$46,V6=1),AD6,1000000000)</f>
        <v>1000000000</v>
      </c>
      <c r="Z6" s="98" t="n">
        <v>320</v>
      </c>
      <c r="AA6" s="99" t="n">
        <f aca="false">Z6*F6</f>
        <v>320</v>
      </c>
      <c r="AB6" s="99" t="n">
        <f aca="false">IFERROR(AA6/Calculator!$B$129*Rates!$B$108*Rates!$B$109,0)</f>
        <v>51.2</v>
      </c>
      <c r="AC6" s="99" t="n">
        <f aca="false">IF(Inference!$B$16&lt;=0,1,IF(AB6&lt;=0,1000000000,MAX(1,ROUNDUP(Inference!$B$16/AB6,0))))</f>
        <v>6</v>
      </c>
      <c r="AD6" s="97" t="n">
        <f aca="false">T6*AC6+AC6/1000000</f>
        <v>3.240006</v>
      </c>
    </row>
    <row r="7" customFormat="false" ht="15" hidden="false" customHeight="true" outlineLevel="0" collapsed="false">
      <c r="A7" s="90" t="n">
        <v>1</v>
      </c>
      <c r="B7" s="91" t="s">
        <v>316</v>
      </c>
      <c r="C7" s="92" t="s">
        <v>258</v>
      </c>
      <c r="D7" s="92" t="s">
        <v>317</v>
      </c>
      <c r="E7" s="90" t="n">
        <v>16</v>
      </c>
      <c r="F7" s="90" t="n">
        <v>1</v>
      </c>
      <c r="G7" s="90" t="n">
        <f aca="false">E7*F7</f>
        <v>16</v>
      </c>
      <c r="H7" s="92" t="s">
        <v>326</v>
      </c>
      <c r="I7" s="90" t="n">
        <v>8</v>
      </c>
      <c r="J7" s="90" t="n">
        <v>30</v>
      </c>
      <c r="K7" s="93" t="n">
        <v>0.73</v>
      </c>
      <c r="L7" s="93" t="n">
        <f aca="false">K7*IF(C7=Rates!$A$45,Rates!$B$28,Rates!$C$28)</f>
        <v>0.2409</v>
      </c>
      <c r="M7" s="92" t="s">
        <v>324</v>
      </c>
      <c r="N7" s="93" t="n">
        <f aca="false">K7*IF(C7=Rates!$A$45,Rates!$B$29,Rates!$C$29)</f>
        <v>0.511</v>
      </c>
      <c r="O7" s="94" t="n">
        <f aca="false">K7*Rates!$B$30</f>
        <v>532.9</v>
      </c>
      <c r="P7" s="91" t="s">
        <v>327</v>
      </c>
      <c r="Q7" s="92" t="s">
        <v>321</v>
      </c>
      <c r="R7" s="91" t="s">
        <v>328</v>
      </c>
      <c r="S7" s="92" t="str">
        <f aca="false">C7&amp;" | "&amp;H7</f>
        <v>Google Cloud | n1-standard-8 + 1x T4</v>
      </c>
      <c r="T7" s="95" t="n">
        <f aca="false">IF(Calculator!$D$16=Rates!$C$46,L7,IF(Calculator!$D$16=Rates!$C$47,N7,K7))</f>
        <v>0.73</v>
      </c>
      <c r="U7" s="96" t="n">
        <f aca="false">IF(OR(Calculator!$B$13=Rates!$A$47,Calculator!$B$13=C7),1,0)</f>
        <v>1</v>
      </c>
      <c r="V7" s="96" t="n">
        <f aca="false">IF(G7&gt;=Calculator!$B$10,1,0)</f>
        <v>0</v>
      </c>
      <c r="W7" s="97" t="n">
        <f aca="false">IF(AND(U7=1,V7=1),AD7,1000000000)</f>
        <v>1000000000</v>
      </c>
      <c r="X7" s="97" t="n">
        <f aca="false">IF(AND(C7=Rates!$A$45,V7=1),AD7,1000000000)</f>
        <v>1000000000</v>
      </c>
      <c r="Y7" s="97" t="n">
        <f aca="false">IF(AND(C7=Rates!$A$46,V7=1),AD7,1000000000)</f>
        <v>1000000000</v>
      </c>
      <c r="Z7" s="98" t="n">
        <v>320</v>
      </c>
      <c r="AA7" s="99" t="n">
        <f aca="false">Z7*F7</f>
        <v>320</v>
      </c>
      <c r="AB7" s="99" t="n">
        <f aca="false">IFERROR(AA7/Calculator!$B$129*Rates!$B$108*Rates!$B$109,0)</f>
        <v>51.2</v>
      </c>
      <c r="AC7" s="99" t="n">
        <f aca="false">IF(Inference!$B$16&lt;=0,1,IF(AB7&lt;=0,1000000000,MAX(1,ROUNDUP(Inference!$B$16/AB7,0))))</f>
        <v>6</v>
      </c>
      <c r="AD7" s="97" t="n">
        <f aca="false">T7*AC7+AC7/1000000</f>
        <v>4.380006</v>
      </c>
    </row>
    <row r="8" customFormat="false" ht="15" hidden="false" customHeight="true" outlineLevel="0" collapsed="false">
      <c r="A8" s="100" t="n">
        <v>1</v>
      </c>
      <c r="B8" s="101" t="s">
        <v>316</v>
      </c>
      <c r="C8" s="102" t="s">
        <v>259</v>
      </c>
      <c r="D8" s="102" t="s">
        <v>317</v>
      </c>
      <c r="E8" s="100" t="n">
        <v>16</v>
      </c>
      <c r="F8" s="100" t="n">
        <v>1</v>
      </c>
      <c r="G8" s="100" t="n">
        <f aca="false">E8*F8</f>
        <v>16</v>
      </c>
      <c r="H8" s="102" t="s">
        <v>329</v>
      </c>
      <c r="I8" s="100" t="n">
        <v>8</v>
      </c>
      <c r="J8" s="100" t="n">
        <v>56</v>
      </c>
      <c r="K8" s="103" t="n">
        <v>0.752</v>
      </c>
      <c r="L8" s="103" t="n">
        <v>0.256958</v>
      </c>
      <c r="M8" s="102" t="s">
        <v>319</v>
      </c>
      <c r="N8" s="103" t="n">
        <f aca="false">K8*IF(C8=Rates!$A$45,Rates!$B$29,Rates!$C$29)</f>
        <v>0.4888</v>
      </c>
      <c r="O8" s="104" t="n">
        <f aca="false">K8*Rates!$B$30</f>
        <v>548.96</v>
      </c>
      <c r="P8" s="101" t="s">
        <v>327</v>
      </c>
      <c r="Q8" s="102" t="s">
        <v>321</v>
      </c>
      <c r="R8" s="101" t="s">
        <v>322</v>
      </c>
      <c r="S8" s="102" t="str">
        <f aca="false">C8&amp;" | "&amp;H8</f>
        <v>Microsoft Azure | Standard_NC8as_T4_v3</v>
      </c>
      <c r="T8" s="95" t="n">
        <f aca="false">IF(Calculator!$D$16=Rates!$C$46,L8,IF(Calculator!$D$16=Rates!$C$47,N8,K8))</f>
        <v>0.752</v>
      </c>
      <c r="U8" s="96" t="n">
        <f aca="false">IF(OR(Calculator!$B$13=Rates!$A$47,Calculator!$B$13=C8),1,0)</f>
        <v>1</v>
      </c>
      <c r="V8" s="96" t="n">
        <f aca="false">IF(G8&gt;=Calculator!$B$10,1,0)</f>
        <v>0</v>
      </c>
      <c r="W8" s="97" t="n">
        <f aca="false">IF(AND(U8=1,V8=1),AD8,1000000000)</f>
        <v>1000000000</v>
      </c>
      <c r="X8" s="97" t="n">
        <f aca="false">IF(AND(C8=Rates!$A$45,V8=1),AD8,1000000000)</f>
        <v>1000000000</v>
      </c>
      <c r="Y8" s="97" t="n">
        <f aca="false">IF(AND(C8=Rates!$A$46,V8=1),AD8,1000000000)</f>
        <v>1000000000</v>
      </c>
      <c r="Z8" s="98" t="n">
        <v>320</v>
      </c>
      <c r="AA8" s="99" t="n">
        <f aca="false">Z8*F8</f>
        <v>320</v>
      </c>
      <c r="AB8" s="99" t="n">
        <f aca="false">IFERROR(AA8/Calculator!$B$129*Rates!$B$108*Rates!$B$109,0)</f>
        <v>51.2</v>
      </c>
      <c r="AC8" s="99" t="n">
        <f aca="false">IF(Inference!$B$16&lt;=0,1,IF(AB8&lt;=0,1000000000,MAX(1,ROUNDUP(Inference!$B$16/AB8,0))))</f>
        <v>6</v>
      </c>
      <c r="AD8" s="97" t="n">
        <f aca="false">T8*AC8+AC8/1000000</f>
        <v>4.512006</v>
      </c>
    </row>
    <row r="9" customFormat="false" ht="23.25" hidden="false" customHeight="true" outlineLevel="0" collapsed="false">
      <c r="A9" s="90" t="n">
        <v>1</v>
      </c>
      <c r="B9" s="91" t="s">
        <v>316</v>
      </c>
      <c r="C9" s="92" t="s">
        <v>258</v>
      </c>
      <c r="D9" s="92" t="s">
        <v>317</v>
      </c>
      <c r="E9" s="90" t="n">
        <v>16</v>
      </c>
      <c r="F9" s="90" t="n">
        <v>2</v>
      </c>
      <c r="G9" s="90" t="n">
        <f aca="false">E9*F9</f>
        <v>32</v>
      </c>
      <c r="H9" s="92" t="s">
        <v>330</v>
      </c>
      <c r="I9" s="90" t="n">
        <v>8</v>
      </c>
      <c r="J9" s="90" t="n">
        <v>30</v>
      </c>
      <c r="K9" s="93" t="n">
        <v>1.08</v>
      </c>
      <c r="L9" s="93" t="n">
        <f aca="false">K9*IF(C9=Rates!$A$45,Rates!$B$28,Rates!$C$28)</f>
        <v>0.3564</v>
      </c>
      <c r="M9" s="92" t="s">
        <v>324</v>
      </c>
      <c r="N9" s="93" t="n">
        <f aca="false">K9*IF(C9=Rates!$A$45,Rates!$B$29,Rates!$C$29)</f>
        <v>0.756</v>
      </c>
      <c r="O9" s="94" t="n">
        <f aca="false">K9*Rates!$B$30</f>
        <v>788.4</v>
      </c>
      <c r="P9" s="91" t="s">
        <v>331</v>
      </c>
      <c r="Q9" s="92" t="s">
        <v>321</v>
      </c>
      <c r="R9" s="91" t="s">
        <v>332</v>
      </c>
      <c r="S9" s="92" t="str">
        <f aca="false">C9&amp;" | "&amp;H9</f>
        <v>Google Cloud | n1-standard-8 + 2x T4</v>
      </c>
      <c r="T9" s="95" t="n">
        <f aca="false">IF(Calculator!$D$16=Rates!$C$46,L9,IF(Calculator!$D$16=Rates!$C$47,N9,K9))</f>
        <v>1.08</v>
      </c>
      <c r="U9" s="96" t="n">
        <f aca="false">IF(OR(Calculator!$B$13=Rates!$A$47,Calculator!$B$13=C9),1,0)</f>
        <v>1</v>
      </c>
      <c r="V9" s="96" t="n">
        <f aca="false">IF(G9&gt;=Calculator!$B$10,1,0)</f>
        <v>0</v>
      </c>
      <c r="W9" s="97" t="n">
        <f aca="false">IF(AND(U9=1,V9=1),AD9,1000000000)</f>
        <v>1000000000</v>
      </c>
      <c r="X9" s="97" t="n">
        <f aca="false">IF(AND(C9=Rates!$A$45,V9=1),AD9,1000000000)</f>
        <v>1000000000</v>
      </c>
      <c r="Y9" s="97" t="n">
        <f aca="false">IF(AND(C9=Rates!$A$46,V9=1),AD9,1000000000)</f>
        <v>1000000000</v>
      </c>
      <c r="Z9" s="98" t="n">
        <v>320</v>
      </c>
      <c r="AA9" s="99" t="n">
        <f aca="false">Z9*F9</f>
        <v>640</v>
      </c>
      <c r="AB9" s="99" t="n">
        <f aca="false">IFERROR(AA9/Calculator!$B$129*Rates!$B$108*Rates!$B$109,0)</f>
        <v>102.4</v>
      </c>
      <c r="AC9" s="99" t="n">
        <f aca="false">IF(Inference!$B$16&lt;=0,1,IF(AB9&lt;=0,1000000000,MAX(1,ROUNDUP(Inference!$B$16/AB9,0))))</f>
        <v>3</v>
      </c>
      <c r="AD9" s="97" t="n">
        <f aca="false">T9*AC9+AC9/1000000</f>
        <v>3.240003</v>
      </c>
    </row>
    <row r="10" customFormat="false" ht="15" hidden="false" customHeight="true" outlineLevel="0" collapsed="false">
      <c r="A10" s="100" t="n">
        <v>2</v>
      </c>
      <c r="B10" s="101" t="s">
        <v>333</v>
      </c>
      <c r="C10" s="102" t="s">
        <v>258</v>
      </c>
      <c r="D10" s="102" t="s">
        <v>334</v>
      </c>
      <c r="E10" s="100" t="n">
        <v>24</v>
      </c>
      <c r="F10" s="100" t="n">
        <v>1</v>
      </c>
      <c r="G10" s="100" t="n">
        <f aca="false">E10*F10</f>
        <v>24</v>
      </c>
      <c r="H10" s="102" t="s">
        <v>335</v>
      </c>
      <c r="I10" s="100" t="n">
        <v>4</v>
      </c>
      <c r="J10" s="100" t="n">
        <v>16</v>
      </c>
      <c r="K10" s="103" t="n">
        <v>0.7068</v>
      </c>
      <c r="L10" s="103" t="n">
        <v>0.2818</v>
      </c>
      <c r="M10" s="102" t="s">
        <v>319</v>
      </c>
      <c r="N10" s="103" t="n">
        <f aca="false">K10*IF(C10=Rates!$A$45,Rates!$B$29,Rates!$C$29)</f>
        <v>0.49476</v>
      </c>
      <c r="O10" s="104" t="n">
        <f aca="false">K10*Rates!$B$30</f>
        <v>515.964</v>
      </c>
      <c r="P10" s="101" t="s">
        <v>336</v>
      </c>
      <c r="Q10" s="102" t="s">
        <v>321</v>
      </c>
      <c r="R10" s="101" t="s">
        <v>337</v>
      </c>
      <c r="S10" s="102" t="str">
        <f aca="false">C10&amp;" | "&amp;H10</f>
        <v>Google Cloud | g2-standard-4</v>
      </c>
      <c r="T10" s="95" t="n">
        <f aca="false">IF(Calculator!$D$16=Rates!$C$46,L10,IF(Calculator!$D$16=Rates!$C$47,N10,K10))</f>
        <v>0.7068</v>
      </c>
      <c r="U10" s="96" t="n">
        <f aca="false">IF(OR(Calculator!$B$13=Rates!$A$47,Calculator!$B$13=C10),1,0)</f>
        <v>1</v>
      </c>
      <c r="V10" s="96" t="n">
        <f aca="false">IF(G10&gt;=Calculator!$B$10,1,0)</f>
        <v>0</v>
      </c>
      <c r="W10" s="97" t="n">
        <f aca="false">IF(AND(U10=1,V10=1),AD10,1000000000)</f>
        <v>1000000000</v>
      </c>
      <c r="X10" s="97" t="n">
        <f aca="false">IF(AND(C10=Rates!$A$45,V10=1),AD10,1000000000)</f>
        <v>1000000000</v>
      </c>
      <c r="Y10" s="97" t="n">
        <f aca="false">IF(AND(C10=Rates!$A$46,V10=1),AD10,1000000000)</f>
        <v>1000000000</v>
      </c>
      <c r="Z10" s="98" t="n">
        <v>300</v>
      </c>
      <c r="AA10" s="99" t="n">
        <f aca="false">Z10*F10</f>
        <v>300</v>
      </c>
      <c r="AB10" s="99" t="n">
        <f aca="false">IFERROR(AA10/Calculator!$B$129*Rates!$B$108*Rates!$B$109,0)</f>
        <v>48</v>
      </c>
      <c r="AC10" s="99" t="n">
        <f aca="false">IF(Inference!$B$16&lt;=0,1,IF(AB10&lt;=0,1000000000,MAX(1,ROUNDUP(Inference!$B$16/AB10,0))))</f>
        <v>6</v>
      </c>
      <c r="AD10" s="97" t="n">
        <f aca="false">T10*AC10+AC10/1000000</f>
        <v>4.240806</v>
      </c>
    </row>
    <row r="11" customFormat="false" ht="15" hidden="false" customHeight="true" outlineLevel="0" collapsed="false">
      <c r="A11" s="90" t="n">
        <v>2</v>
      </c>
      <c r="B11" s="91" t="s">
        <v>333</v>
      </c>
      <c r="C11" s="92" t="s">
        <v>258</v>
      </c>
      <c r="D11" s="92" t="s">
        <v>334</v>
      </c>
      <c r="E11" s="90" t="n">
        <v>24</v>
      </c>
      <c r="F11" s="90" t="n">
        <v>1</v>
      </c>
      <c r="G11" s="90" t="n">
        <f aca="false">E11*F11</f>
        <v>24</v>
      </c>
      <c r="H11" s="92" t="s">
        <v>338</v>
      </c>
      <c r="I11" s="90" t="n">
        <v>8</v>
      </c>
      <c r="J11" s="90" t="n">
        <v>32</v>
      </c>
      <c r="K11" s="93" t="n">
        <v>0.8536</v>
      </c>
      <c r="L11" s="93" t="n">
        <v>0.3406</v>
      </c>
      <c r="M11" s="92" t="s">
        <v>319</v>
      </c>
      <c r="N11" s="93" t="n">
        <f aca="false">K11*IF(C11=Rates!$A$45,Rates!$B$29,Rates!$C$29)</f>
        <v>0.59752</v>
      </c>
      <c r="O11" s="94" t="n">
        <f aca="false">K11*Rates!$B$30</f>
        <v>623.128</v>
      </c>
      <c r="P11" s="91" t="s">
        <v>339</v>
      </c>
      <c r="Q11" s="92" t="s">
        <v>321</v>
      </c>
      <c r="R11" s="91" t="s">
        <v>337</v>
      </c>
      <c r="S11" s="92" t="str">
        <f aca="false">C11&amp;" | "&amp;H11</f>
        <v>Google Cloud | g2-standard-8</v>
      </c>
      <c r="T11" s="95" t="n">
        <f aca="false">IF(Calculator!$D$16=Rates!$C$46,L11,IF(Calculator!$D$16=Rates!$C$47,N11,K11))</f>
        <v>0.8536</v>
      </c>
      <c r="U11" s="96" t="n">
        <f aca="false">IF(OR(Calculator!$B$13=Rates!$A$47,Calculator!$B$13=C11),1,0)</f>
        <v>1</v>
      </c>
      <c r="V11" s="96" t="n">
        <f aca="false">IF(G11&gt;=Calculator!$B$10,1,0)</f>
        <v>0</v>
      </c>
      <c r="W11" s="97" t="n">
        <f aca="false">IF(AND(U11=1,V11=1),AD11,1000000000)</f>
        <v>1000000000</v>
      </c>
      <c r="X11" s="97" t="n">
        <f aca="false">IF(AND(C11=Rates!$A$45,V11=1),AD11,1000000000)</f>
        <v>1000000000</v>
      </c>
      <c r="Y11" s="97" t="n">
        <f aca="false">IF(AND(C11=Rates!$A$46,V11=1),AD11,1000000000)</f>
        <v>1000000000</v>
      </c>
      <c r="Z11" s="98" t="n">
        <v>300</v>
      </c>
      <c r="AA11" s="99" t="n">
        <f aca="false">Z11*F11</f>
        <v>300</v>
      </c>
      <c r="AB11" s="99" t="n">
        <f aca="false">IFERROR(AA11/Calculator!$B$129*Rates!$B$108*Rates!$B$109,0)</f>
        <v>48</v>
      </c>
      <c r="AC11" s="99" t="n">
        <f aca="false">IF(Inference!$B$16&lt;=0,1,IF(AB11&lt;=0,1000000000,MAX(1,ROUNDUP(Inference!$B$16/AB11,0))))</f>
        <v>6</v>
      </c>
      <c r="AD11" s="97" t="n">
        <f aca="false">T11*AC11+AC11/1000000</f>
        <v>5.121606</v>
      </c>
    </row>
    <row r="12" customFormat="false" ht="15" hidden="false" customHeight="true" outlineLevel="0" collapsed="false">
      <c r="A12" s="100" t="n">
        <v>2</v>
      </c>
      <c r="B12" s="101" t="s">
        <v>333</v>
      </c>
      <c r="C12" s="102" t="s">
        <v>258</v>
      </c>
      <c r="D12" s="102" t="s">
        <v>334</v>
      </c>
      <c r="E12" s="100" t="n">
        <v>24</v>
      </c>
      <c r="F12" s="100" t="n">
        <v>2</v>
      </c>
      <c r="G12" s="100" t="n">
        <f aca="false">E12*F12</f>
        <v>48</v>
      </c>
      <c r="H12" s="102" t="s">
        <v>340</v>
      </c>
      <c r="I12" s="100" t="n">
        <v>24</v>
      </c>
      <c r="J12" s="100" t="n">
        <v>96</v>
      </c>
      <c r="K12" s="103" t="n">
        <v>2.0008</v>
      </c>
      <c r="L12" s="103" t="n">
        <v>0.7986</v>
      </c>
      <c r="M12" s="102" t="s">
        <v>319</v>
      </c>
      <c r="N12" s="103" t="n">
        <f aca="false">K12*IF(C12=Rates!$A$45,Rates!$B$29,Rates!$C$29)</f>
        <v>1.40056</v>
      </c>
      <c r="O12" s="104" t="n">
        <f aca="false">K12*Rates!$B$30</f>
        <v>1460.584</v>
      </c>
      <c r="P12" s="101" t="s">
        <v>341</v>
      </c>
      <c r="Q12" s="102" t="s">
        <v>321</v>
      </c>
      <c r="R12" s="101" t="s">
        <v>337</v>
      </c>
      <c r="S12" s="102" t="str">
        <f aca="false">C12&amp;" | "&amp;H12</f>
        <v>Google Cloud | g2-standard-24</v>
      </c>
      <c r="T12" s="95" t="n">
        <f aca="false">IF(Calculator!$D$16=Rates!$C$46,L12,IF(Calculator!$D$16=Rates!$C$47,N12,K12))</f>
        <v>2.0008</v>
      </c>
      <c r="U12" s="96" t="n">
        <f aca="false">IF(OR(Calculator!$B$13=Rates!$A$47,Calculator!$B$13=C12),1,0)</f>
        <v>1</v>
      </c>
      <c r="V12" s="96" t="n">
        <f aca="false">IF(G12&gt;=Calculator!$B$10,1,0)</f>
        <v>0</v>
      </c>
      <c r="W12" s="97" t="n">
        <f aca="false">IF(AND(U12=1,V12=1),AD12,1000000000)</f>
        <v>1000000000</v>
      </c>
      <c r="X12" s="97" t="n">
        <f aca="false">IF(AND(C12=Rates!$A$45,V12=1),AD12,1000000000)</f>
        <v>1000000000</v>
      </c>
      <c r="Y12" s="97" t="n">
        <f aca="false">IF(AND(C12=Rates!$A$46,V12=1),AD12,1000000000)</f>
        <v>1000000000</v>
      </c>
      <c r="Z12" s="98" t="n">
        <v>300</v>
      </c>
      <c r="AA12" s="99" t="n">
        <f aca="false">Z12*F12</f>
        <v>600</v>
      </c>
      <c r="AB12" s="99" t="n">
        <f aca="false">IFERROR(AA12/Calculator!$B$129*Rates!$B$108*Rates!$B$109,0)</f>
        <v>96</v>
      </c>
      <c r="AC12" s="99" t="n">
        <f aca="false">IF(Inference!$B$16&lt;=0,1,IF(AB12&lt;=0,1000000000,MAX(1,ROUNDUP(Inference!$B$16/AB12,0))))</f>
        <v>3</v>
      </c>
      <c r="AD12" s="97" t="n">
        <f aca="false">T12*AC12+AC12/1000000</f>
        <v>6.002403</v>
      </c>
    </row>
    <row r="13" customFormat="false" ht="23.25" hidden="false" customHeight="true" outlineLevel="0" collapsed="false">
      <c r="A13" s="90" t="n">
        <v>2</v>
      </c>
      <c r="B13" s="91" t="s">
        <v>333</v>
      </c>
      <c r="C13" s="92" t="s">
        <v>259</v>
      </c>
      <c r="D13" s="92" t="s">
        <v>342</v>
      </c>
      <c r="E13" s="90" t="n">
        <v>24</v>
      </c>
      <c r="F13" s="90" t="n">
        <v>1</v>
      </c>
      <c r="G13" s="90" t="n">
        <f aca="false">E13*F13</f>
        <v>24</v>
      </c>
      <c r="H13" s="92" t="s">
        <v>343</v>
      </c>
      <c r="I13" s="90" t="n">
        <v>36</v>
      </c>
      <c r="J13" s="90" t="n">
        <v>440</v>
      </c>
      <c r="K13" s="93" t="n">
        <v>3.2</v>
      </c>
      <c r="L13" s="93" t="n">
        <v>0.59136</v>
      </c>
      <c r="M13" s="92" t="s">
        <v>319</v>
      </c>
      <c r="N13" s="93" t="n">
        <f aca="false">K13*IF(C13=Rates!$A$45,Rates!$B$29,Rates!$C$29)</f>
        <v>2.08</v>
      </c>
      <c r="O13" s="94" t="n">
        <f aca="false">K13*Rates!$B$30</f>
        <v>2336</v>
      </c>
      <c r="P13" s="91" t="s">
        <v>344</v>
      </c>
      <c r="Q13" s="92" t="s">
        <v>321</v>
      </c>
      <c r="R13" s="91" t="s">
        <v>345</v>
      </c>
      <c r="S13" s="92" t="str">
        <f aca="false">C13&amp;" | "&amp;H13</f>
        <v>Microsoft Azure | Standard_NV36ads_A10_v5</v>
      </c>
      <c r="T13" s="95" t="n">
        <f aca="false">IF(Calculator!$D$16=Rates!$C$46,L13,IF(Calculator!$D$16=Rates!$C$47,N13,K13))</f>
        <v>3.2</v>
      </c>
      <c r="U13" s="96" t="n">
        <f aca="false">IF(OR(Calculator!$B$13=Rates!$A$47,Calculator!$B$13=C13),1,0)</f>
        <v>1</v>
      </c>
      <c r="V13" s="96" t="n">
        <f aca="false">IF(G13&gt;=Calculator!$B$10,1,0)</f>
        <v>0</v>
      </c>
      <c r="W13" s="97" t="n">
        <f aca="false">IF(AND(U13=1,V13=1),AD13,1000000000)</f>
        <v>1000000000</v>
      </c>
      <c r="X13" s="97" t="n">
        <f aca="false">IF(AND(C13=Rates!$A$45,V13=1),AD13,1000000000)</f>
        <v>1000000000</v>
      </c>
      <c r="Y13" s="97" t="n">
        <f aca="false">IF(AND(C13=Rates!$A$46,V13=1),AD13,1000000000)</f>
        <v>1000000000</v>
      </c>
      <c r="Z13" s="98" t="n">
        <v>600</v>
      </c>
      <c r="AA13" s="99" t="n">
        <f aca="false">Z13*F13</f>
        <v>600</v>
      </c>
      <c r="AB13" s="99" t="n">
        <f aca="false">IFERROR(AA13/Calculator!$B$129*Rates!$B$108*Rates!$B$109,0)</f>
        <v>96</v>
      </c>
      <c r="AC13" s="99" t="n">
        <f aca="false">IF(Inference!$B$16&lt;=0,1,IF(AB13&lt;=0,1000000000,MAX(1,ROUNDUP(Inference!$B$16/AB13,0))))</f>
        <v>3</v>
      </c>
      <c r="AD13" s="97" t="n">
        <f aca="false">T13*AC13+AC13/1000000</f>
        <v>9.600003</v>
      </c>
    </row>
    <row r="14" customFormat="false" ht="15" hidden="false" customHeight="true" outlineLevel="0" collapsed="false">
      <c r="A14" s="100" t="n">
        <v>2</v>
      </c>
      <c r="B14" s="101" t="s">
        <v>333</v>
      </c>
      <c r="C14" s="102" t="s">
        <v>258</v>
      </c>
      <c r="D14" s="102" t="s">
        <v>334</v>
      </c>
      <c r="E14" s="100" t="n">
        <v>24</v>
      </c>
      <c r="F14" s="100" t="n">
        <v>4</v>
      </c>
      <c r="G14" s="100" t="n">
        <f aca="false">E14*F14</f>
        <v>96</v>
      </c>
      <c r="H14" s="102" t="s">
        <v>346</v>
      </c>
      <c r="I14" s="100" t="n">
        <v>48</v>
      </c>
      <c r="J14" s="100" t="n">
        <v>192</v>
      </c>
      <c r="K14" s="103" t="n">
        <v>4.0017</v>
      </c>
      <c r="L14" s="103" t="n">
        <v>1.5972</v>
      </c>
      <c r="M14" s="102" t="s">
        <v>319</v>
      </c>
      <c r="N14" s="103" t="n">
        <f aca="false">K14*IF(C14=Rates!$A$45,Rates!$B$29,Rates!$C$29)</f>
        <v>2.80119</v>
      </c>
      <c r="O14" s="104" t="n">
        <f aca="false">K14*Rates!$B$30</f>
        <v>2921.241</v>
      </c>
      <c r="P14" s="101" t="s">
        <v>347</v>
      </c>
      <c r="Q14" s="102" t="s">
        <v>321</v>
      </c>
      <c r="R14" s="101" t="s">
        <v>337</v>
      </c>
      <c r="S14" s="102" t="str">
        <f aca="false">C14&amp;" | "&amp;H14</f>
        <v>Google Cloud | g2-standard-48</v>
      </c>
      <c r="T14" s="95" t="n">
        <f aca="false">IF(Calculator!$D$16=Rates!$C$46,L14,IF(Calculator!$D$16=Rates!$C$47,N14,K14))</f>
        <v>4.0017</v>
      </c>
      <c r="U14" s="96" t="n">
        <f aca="false">IF(OR(Calculator!$B$13=Rates!$A$47,Calculator!$B$13=C14),1,0)</f>
        <v>1</v>
      </c>
      <c r="V14" s="96" t="n">
        <f aca="false">IF(G14&gt;=Calculator!$B$10,1,0)</f>
        <v>1</v>
      </c>
      <c r="W14" s="97" t="n">
        <f aca="false">IF(AND(U14=1,V14=1),AD14,1000000000)</f>
        <v>8.003402</v>
      </c>
      <c r="X14" s="97" t="n">
        <f aca="false">IF(AND(C14=Rates!$A$45,V14=1),AD14,1000000000)</f>
        <v>8.003402</v>
      </c>
      <c r="Y14" s="97" t="n">
        <f aca="false">IF(AND(C14=Rates!$A$46,V14=1),AD14,1000000000)</f>
        <v>1000000000</v>
      </c>
      <c r="Z14" s="98" t="n">
        <v>300</v>
      </c>
      <c r="AA14" s="99" t="n">
        <f aca="false">Z14*F14</f>
        <v>1200</v>
      </c>
      <c r="AB14" s="99" t="n">
        <f aca="false">IFERROR(AA14/Calculator!$B$129*Rates!$B$108*Rates!$B$109,0)</f>
        <v>192</v>
      </c>
      <c r="AC14" s="99" t="n">
        <f aca="false">IF(Inference!$B$16&lt;=0,1,IF(AB14&lt;=0,1000000000,MAX(1,ROUNDUP(Inference!$B$16/AB14,0))))</f>
        <v>2</v>
      </c>
      <c r="AD14" s="97" t="n">
        <f aca="false">T14*AC14+AC14/1000000</f>
        <v>8.003402</v>
      </c>
    </row>
    <row r="15" customFormat="false" ht="15" hidden="false" customHeight="true" outlineLevel="0" collapsed="false">
      <c r="A15" s="90" t="n">
        <v>2</v>
      </c>
      <c r="B15" s="91" t="s">
        <v>333</v>
      </c>
      <c r="C15" s="92" t="s">
        <v>258</v>
      </c>
      <c r="D15" s="92" t="s">
        <v>334</v>
      </c>
      <c r="E15" s="90" t="n">
        <v>24</v>
      </c>
      <c r="F15" s="90" t="n">
        <v>8</v>
      </c>
      <c r="G15" s="90" t="n">
        <f aca="false">E15*F15</f>
        <v>192</v>
      </c>
      <c r="H15" s="92" t="s">
        <v>348</v>
      </c>
      <c r="I15" s="90" t="n">
        <v>96</v>
      </c>
      <c r="J15" s="90" t="n">
        <v>384</v>
      </c>
      <c r="K15" s="93" t="n">
        <v>8.0033</v>
      </c>
      <c r="L15" s="93" t="n">
        <v>3.1945</v>
      </c>
      <c r="M15" s="92" t="s">
        <v>319</v>
      </c>
      <c r="N15" s="93" t="n">
        <f aca="false">K15*IF(C15=Rates!$A$45,Rates!$B$29,Rates!$C$29)</f>
        <v>5.60231</v>
      </c>
      <c r="O15" s="94" t="n">
        <f aca="false">K15*Rates!$B$30</f>
        <v>5842.409</v>
      </c>
      <c r="P15" s="91" t="s">
        <v>349</v>
      </c>
      <c r="Q15" s="92" t="s">
        <v>321</v>
      </c>
      <c r="R15" s="91" t="s">
        <v>337</v>
      </c>
      <c r="S15" s="92" t="str">
        <f aca="false">C15&amp;" | "&amp;H15</f>
        <v>Google Cloud | g2-standard-96</v>
      </c>
      <c r="T15" s="95" t="n">
        <f aca="false">IF(Calculator!$D$16=Rates!$C$46,L15,IF(Calculator!$D$16=Rates!$C$47,N15,K15))</f>
        <v>8.0033</v>
      </c>
      <c r="U15" s="96" t="n">
        <f aca="false">IF(OR(Calculator!$B$13=Rates!$A$47,Calculator!$B$13=C15),1,0)</f>
        <v>1</v>
      </c>
      <c r="V15" s="96" t="n">
        <f aca="false">IF(G15&gt;=Calculator!$B$10,1,0)</f>
        <v>1</v>
      </c>
      <c r="W15" s="97" t="n">
        <f aca="false">IF(AND(U15=1,V15=1),AD15,1000000000)</f>
        <v>8.003301</v>
      </c>
      <c r="X15" s="97" t="n">
        <f aca="false">IF(AND(C15=Rates!$A$45,V15=1),AD15,1000000000)</f>
        <v>8.003301</v>
      </c>
      <c r="Y15" s="97" t="n">
        <f aca="false">IF(AND(C15=Rates!$A$46,V15=1),AD15,1000000000)</f>
        <v>1000000000</v>
      </c>
      <c r="Z15" s="98" t="n">
        <v>300</v>
      </c>
      <c r="AA15" s="99" t="n">
        <f aca="false">Z15*F15</f>
        <v>2400</v>
      </c>
      <c r="AB15" s="99" t="n">
        <f aca="false">IFERROR(AA15/Calculator!$B$129*Rates!$B$108*Rates!$B$109,0)</f>
        <v>384</v>
      </c>
      <c r="AC15" s="99" t="n">
        <f aca="false">IF(Inference!$B$16&lt;=0,1,IF(AB15&lt;=0,1000000000,MAX(1,ROUNDUP(Inference!$B$16/AB15,0))))</f>
        <v>1</v>
      </c>
      <c r="AD15" s="97" t="n">
        <f aca="false">T15*AC15+AC15/1000000</f>
        <v>8.003301</v>
      </c>
    </row>
    <row r="16" customFormat="false" ht="15" hidden="false" customHeight="true" outlineLevel="0" collapsed="false">
      <c r="A16" s="100" t="n">
        <v>3</v>
      </c>
      <c r="B16" s="101" t="s">
        <v>350</v>
      </c>
      <c r="C16" s="102" t="s">
        <v>258</v>
      </c>
      <c r="D16" s="102" t="s">
        <v>351</v>
      </c>
      <c r="E16" s="100" t="n">
        <v>40</v>
      </c>
      <c r="F16" s="100" t="n">
        <v>1</v>
      </c>
      <c r="G16" s="100" t="n">
        <f aca="false">E16*F16</f>
        <v>40</v>
      </c>
      <c r="H16" s="102" t="s">
        <v>352</v>
      </c>
      <c r="I16" s="100" t="n">
        <v>12</v>
      </c>
      <c r="J16" s="100" t="n">
        <v>85</v>
      </c>
      <c r="K16" s="103" t="n">
        <v>3.6734</v>
      </c>
      <c r="L16" s="103" t="n">
        <v>1.443</v>
      </c>
      <c r="M16" s="102" t="s">
        <v>319</v>
      </c>
      <c r="N16" s="103" t="n">
        <f aca="false">K16*IF(C16=Rates!$A$45,Rates!$B$29,Rates!$C$29)</f>
        <v>2.57138</v>
      </c>
      <c r="O16" s="104" t="n">
        <f aca="false">K16*Rates!$B$30</f>
        <v>2681.582</v>
      </c>
      <c r="P16" s="101" t="s">
        <v>353</v>
      </c>
      <c r="Q16" s="102" t="s">
        <v>321</v>
      </c>
      <c r="R16" s="101" t="s">
        <v>337</v>
      </c>
      <c r="S16" s="102" t="str">
        <f aca="false">C16&amp;" | "&amp;H16</f>
        <v>Google Cloud | a2-highgpu-1g</v>
      </c>
      <c r="T16" s="95" t="n">
        <f aca="false">IF(Calculator!$D$16=Rates!$C$46,L16,IF(Calculator!$D$16=Rates!$C$47,N16,K16))</f>
        <v>3.6734</v>
      </c>
      <c r="U16" s="96" t="n">
        <f aca="false">IF(OR(Calculator!$B$13=Rates!$A$47,Calculator!$B$13=C16),1,0)</f>
        <v>1</v>
      </c>
      <c r="V16" s="96" t="n">
        <f aca="false">IF(G16&gt;=Calculator!$B$10,1,0)</f>
        <v>0</v>
      </c>
      <c r="W16" s="97" t="n">
        <f aca="false">IF(AND(U16=1,V16=1),AD16,1000000000)</f>
        <v>1000000000</v>
      </c>
      <c r="X16" s="97" t="n">
        <f aca="false">IF(AND(C16=Rates!$A$45,V16=1),AD16,1000000000)</f>
        <v>1000000000</v>
      </c>
      <c r="Y16" s="97" t="n">
        <f aca="false">IF(AND(C16=Rates!$A$46,V16=1),AD16,1000000000)</f>
        <v>1000000000</v>
      </c>
      <c r="Z16" s="98" t="n">
        <v>1555</v>
      </c>
      <c r="AA16" s="99" t="n">
        <f aca="false">Z16*F16</f>
        <v>1555</v>
      </c>
      <c r="AB16" s="99" t="n">
        <f aca="false">IFERROR(AA16/Calculator!$B$129*Rates!$B$108*Rates!$B$109,0)</f>
        <v>248.8</v>
      </c>
      <c r="AC16" s="99" t="n">
        <f aca="false">IF(Inference!$B$16&lt;=0,1,IF(AB16&lt;=0,1000000000,MAX(1,ROUNDUP(Inference!$B$16/AB16,0))))</f>
        <v>2</v>
      </c>
      <c r="AD16" s="97" t="n">
        <f aca="false">T16*AC16+AC16/1000000</f>
        <v>7.346802</v>
      </c>
    </row>
    <row r="17" customFormat="false" ht="15" hidden="false" customHeight="true" outlineLevel="0" collapsed="false">
      <c r="A17" s="90" t="n">
        <v>3</v>
      </c>
      <c r="B17" s="91" t="s">
        <v>350</v>
      </c>
      <c r="C17" s="92" t="s">
        <v>258</v>
      </c>
      <c r="D17" s="92" t="s">
        <v>351</v>
      </c>
      <c r="E17" s="90" t="n">
        <v>40</v>
      </c>
      <c r="F17" s="90" t="n">
        <v>2</v>
      </c>
      <c r="G17" s="90" t="n">
        <f aca="false">E17*F17</f>
        <v>80</v>
      </c>
      <c r="H17" s="92" t="s">
        <v>354</v>
      </c>
      <c r="I17" s="90" t="n">
        <v>24</v>
      </c>
      <c r="J17" s="90" t="n">
        <v>170</v>
      </c>
      <c r="K17" s="93" t="n">
        <v>7.3468</v>
      </c>
      <c r="L17" s="93" t="n">
        <v>2.8859</v>
      </c>
      <c r="M17" s="92" t="s">
        <v>319</v>
      </c>
      <c r="N17" s="93" t="n">
        <f aca="false">K17*IF(C17=Rates!$A$45,Rates!$B$29,Rates!$C$29)</f>
        <v>5.14276</v>
      </c>
      <c r="O17" s="94" t="n">
        <f aca="false">K17*Rates!$B$30</f>
        <v>5363.164</v>
      </c>
      <c r="P17" s="91" t="s">
        <v>355</v>
      </c>
      <c r="Q17" s="92" t="s">
        <v>321</v>
      </c>
      <c r="R17" s="91" t="s">
        <v>337</v>
      </c>
      <c r="S17" s="92" t="str">
        <f aca="false">C17&amp;" | "&amp;H17</f>
        <v>Google Cloud | a2-highgpu-2g</v>
      </c>
      <c r="T17" s="95" t="n">
        <f aca="false">IF(Calculator!$D$16=Rates!$C$46,L17,IF(Calculator!$D$16=Rates!$C$47,N17,K17))</f>
        <v>7.3468</v>
      </c>
      <c r="U17" s="96" t="n">
        <f aca="false">IF(OR(Calculator!$B$13=Rates!$A$47,Calculator!$B$13=C17),1,0)</f>
        <v>1</v>
      </c>
      <c r="V17" s="96" t="n">
        <f aca="false">IF(G17&gt;=Calculator!$B$10,1,0)</f>
        <v>0</v>
      </c>
      <c r="W17" s="97" t="n">
        <f aca="false">IF(AND(U17=1,V17=1),AD17,1000000000)</f>
        <v>1000000000</v>
      </c>
      <c r="X17" s="97" t="n">
        <f aca="false">IF(AND(C17=Rates!$A$45,V17=1),AD17,1000000000)</f>
        <v>1000000000</v>
      </c>
      <c r="Y17" s="97" t="n">
        <f aca="false">IF(AND(C17=Rates!$A$46,V17=1),AD17,1000000000)</f>
        <v>1000000000</v>
      </c>
      <c r="Z17" s="98" t="n">
        <v>1555</v>
      </c>
      <c r="AA17" s="99" t="n">
        <f aca="false">Z17*F17</f>
        <v>3110</v>
      </c>
      <c r="AB17" s="99" t="n">
        <f aca="false">IFERROR(AA17/Calculator!$B$129*Rates!$B$108*Rates!$B$109,0)</f>
        <v>497.6</v>
      </c>
      <c r="AC17" s="99" t="n">
        <f aca="false">IF(Inference!$B$16&lt;=0,1,IF(AB17&lt;=0,1000000000,MAX(1,ROUNDUP(Inference!$B$16/AB17,0))))</f>
        <v>1</v>
      </c>
      <c r="AD17" s="97" t="n">
        <f aca="false">T17*AC17+AC17/1000000</f>
        <v>7.346801</v>
      </c>
    </row>
    <row r="18" customFormat="false" ht="15" hidden="false" customHeight="true" outlineLevel="0" collapsed="false">
      <c r="A18" s="100" t="n">
        <v>3</v>
      </c>
      <c r="B18" s="101" t="s">
        <v>350</v>
      </c>
      <c r="C18" s="102" t="s">
        <v>258</v>
      </c>
      <c r="D18" s="102" t="s">
        <v>351</v>
      </c>
      <c r="E18" s="100" t="n">
        <v>40</v>
      </c>
      <c r="F18" s="100" t="n">
        <v>4</v>
      </c>
      <c r="G18" s="100" t="n">
        <f aca="false">E18*F18</f>
        <v>160</v>
      </c>
      <c r="H18" s="102" t="s">
        <v>356</v>
      </c>
      <c r="I18" s="100" t="n">
        <v>48</v>
      </c>
      <c r="J18" s="100" t="n">
        <v>340</v>
      </c>
      <c r="K18" s="103" t="n">
        <v>14.6935</v>
      </c>
      <c r="L18" s="103" t="n">
        <v>5.7718</v>
      </c>
      <c r="M18" s="102" t="s">
        <v>319</v>
      </c>
      <c r="N18" s="103" t="n">
        <f aca="false">K18*IF(C18=Rates!$A$45,Rates!$B$29,Rates!$C$29)</f>
        <v>10.28545</v>
      </c>
      <c r="O18" s="104" t="n">
        <f aca="false">K18*Rates!$B$30</f>
        <v>10726.255</v>
      </c>
      <c r="P18" s="101" t="s">
        <v>357</v>
      </c>
      <c r="Q18" s="102" t="s">
        <v>321</v>
      </c>
      <c r="R18" s="101" t="s">
        <v>337</v>
      </c>
      <c r="S18" s="102" t="str">
        <f aca="false">C18&amp;" | "&amp;H18</f>
        <v>Google Cloud | a2-highgpu-4g</v>
      </c>
      <c r="T18" s="95" t="n">
        <f aca="false">IF(Calculator!$D$16=Rates!$C$46,L18,IF(Calculator!$D$16=Rates!$C$47,N18,K18))</f>
        <v>14.6935</v>
      </c>
      <c r="U18" s="96" t="n">
        <f aca="false">IF(OR(Calculator!$B$13=Rates!$A$47,Calculator!$B$13=C18),1,0)</f>
        <v>1</v>
      </c>
      <c r="V18" s="96" t="n">
        <f aca="false">IF(G18&gt;=Calculator!$B$10,1,0)</f>
        <v>1</v>
      </c>
      <c r="W18" s="97" t="n">
        <f aca="false">IF(AND(U18=1,V18=1),AD18,1000000000)</f>
        <v>14.693501</v>
      </c>
      <c r="X18" s="97" t="n">
        <f aca="false">IF(AND(C18=Rates!$A$45,V18=1),AD18,1000000000)</f>
        <v>14.693501</v>
      </c>
      <c r="Y18" s="97" t="n">
        <f aca="false">IF(AND(C18=Rates!$A$46,V18=1),AD18,1000000000)</f>
        <v>1000000000</v>
      </c>
      <c r="Z18" s="98" t="n">
        <v>1555</v>
      </c>
      <c r="AA18" s="99" t="n">
        <f aca="false">Z18*F18</f>
        <v>6220</v>
      </c>
      <c r="AB18" s="99" t="n">
        <f aca="false">IFERROR(AA18/Calculator!$B$129*Rates!$B$108*Rates!$B$109,0)</f>
        <v>995.2</v>
      </c>
      <c r="AC18" s="99" t="n">
        <f aca="false">IF(Inference!$B$16&lt;=0,1,IF(AB18&lt;=0,1000000000,MAX(1,ROUNDUP(Inference!$B$16/AB18,0))))</f>
        <v>1</v>
      </c>
      <c r="AD18" s="97" t="n">
        <f aca="false">T18*AC18+AC18/1000000</f>
        <v>14.693501</v>
      </c>
    </row>
    <row r="19" customFormat="false" ht="15" hidden="false" customHeight="true" outlineLevel="0" collapsed="false">
      <c r="A19" s="90" t="n">
        <v>3</v>
      </c>
      <c r="B19" s="91" t="s">
        <v>350</v>
      </c>
      <c r="C19" s="92" t="s">
        <v>258</v>
      </c>
      <c r="D19" s="92" t="s">
        <v>351</v>
      </c>
      <c r="E19" s="90" t="n">
        <v>40</v>
      </c>
      <c r="F19" s="90" t="n">
        <v>8</v>
      </c>
      <c r="G19" s="90" t="n">
        <f aca="false">E19*F19</f>
        <v>320</v>
      </c>
      <c r="H19" s="92" t="s">
        <v>358</v>
      </c>
      <c r="I19" s="90" t="n">
        <v>96</v>
      </c>
      <c r="J19" s="90" t="n">
        <v>680</v>
      </c>
      <c r="K19" s="93" t="n">
        <v>29.3871</v>
      </c>
      <c r="L19" s="93" t="n">
        <v>11.5436</v>
      </c>
      <c r="M19" s="92" t="s">
        <v>319</v>
      </c>
      <c r="N19" s="93" t="n">
        <f aca="false">K19*IF(C19=Rates!$A$45,Rates!$B$29,Rates!$C$29)</f>
        <v>20.57097</v>
      </c>
      <c r="O19" s="94" t="n">
        <f aca="false">K19*Rates!$B$30</f>
        <v>21452.583</v>
      </c>
      <c r="P19" s="91" t="s">
        <v>359</v>
      </c>
      <c r="Q19" s="92" t="s">
        <v>321</v>
      </c>
      <c r="R19" s="91" t="s">
        <v>337</v>
      </c>
      <c r="S19" s="92" t="str">
        <f aca="false">C19&amp;" | "&amp;H19</f>
        <v>Google Cloud | a2-highgpu-8g</v>
      </c>
      <c r="T19" s="95" t="n">
        <f aca="false">IF(Calculator!$D$16=Rates!$C$46,L19,IF(Calculator!$D$16=Rates!$C$47,N19,K19))</f>
        <v>29.3871</v>
      </c>
      <c r="U19" s="96" t="n">
        <f aca="false">IF(OR(Calculator!$B$13=Rates!$A$47,Calculator!$B$13=C19),1,0)</f>
        <v>1</v>
      </c>
      <c r="V19" s="96" t="n">
        <f aca="false">IF(G19&gt;=Calculator!$B$10,1,0)</f>
        <v>1</v>
      </c>
      <c r="W19" s="97" t="n">
        <f aca="false">IF(AND(U19=1,V19=1),AD19,1000000000)</f>
        <v>29.387101</v>
      </c>
      <c r="X19" s="97" t="n">
        <f aca="false">IF(AND(C19=Rates!$A$45,V19=1),AD19,1000000000)</f>
        <v>29.387101</v>
      </c>
      <c r="Y19" s="97" t="n">
        <f aca="false">IF(AND(C19=Rates!$A$46,V19=1),AD19,1000000000)</f>
        <v>1000000000</v>
      </c>
      <c r="Z19" s="98" t="n">
        <v>1555</v>
      </c>
      <c r="AA19" s="99" t="n">
        <f aca="false">Z19*F19</f>
        <v>12440</v>
      </c>
      <c r="AB19" s="99" t="n">
        <f aca="false">IFERROR(AA19/Calculator!$B$129*Rates!$B$108*Rates!$B$109,0)</f>
        <v>1990.4</v>
      </c>
      <c r="AC19" s="99" t="n">
        <f aca="false">IF(Inference!$B$16&lt;=0,1,IF(AB19&lt;=0,1000000000,MAX(1,ROUNDUP(Inference!$B$16/AB19,0))))</f>
        <v>1</v>
      </c>
      <c r="AD19" s="97" t="n">
        <f aca="false">T19*AC19+AC19/1000000</f>
        <v>29.387101</v>
      </c>
    </row>
    <row r="20" customFormat="false" ht="15" hidden="false" customHeight="true" outlineLevel="0" collapsed="false">
      <c r="A20" s="100" t="n">
        <v>3</v>
      </c>
      <c r="B20" s="101" t="s">
        <v>350</v>
      </c>
      <c r="C20" s="102" t="s">
        <v>258</v>
      </c>
      <c r="D20" s="102" t="s">
        <v>351</v>
      </c>
      <c r="E20" s="100" t="n">
        <v>40</v>
      </c>
      <c r="F20" s="100" t="n">
        <v>16</v>
      </c>
      <c r="G20" s="100" t="n">
        <f aca="false">E20*F20</f>
        <v>640</v>
      </c>
      <c r="H20" s="102" t="s">
        <v>360</v>
      </c>
      <c r="I20" s="100" t="n">
        <v>96</v>
      </c>
      <c r="J20" s="100" t="n">
        <v>1360</v>
      </c>
      <c r="K20" s="103" t="n">
        <v>55.7395</v>
      </c>
      <c r="L20" s="103" t="n">
        <v>21.8738</v>
      </c>
      <c r="M20" s="102" t="s">
        <v>319</v>
      </c>
      <c r="N20" s="103" t="n">
        <f aca="false">K20*IF(C20=Rates!$A$45,Rates!$B$29,Rates!$C$29)</f>
        <v>39.01765</v>
      </c>
      <c r="O20" s="104" t="n">
        <f aca="false">K20*Rates!$B$30</f>
        <v>40689.835</v>
      </c>
      <c r="P20" s="101" t="s">
        <v>361</v>
      </c>
      <c r="Q20" s="102" t="s">
        <v>321</v>
      </c>
      <c r="R20" s="101" t="s">
        <v>337</v>
      </c>
      <c r="S20" s="102" t="str">
        <f aca="false">C20&amp;" | "&amp;H20</f>
        <v>Google Cloud | a2-megagpu-16g</v>
      </c>
      <c r="T20" s="95" t="n">
        <f aca="false">IF(Calculator!$D$16=Rates!$C$46,L20,IF(Calculator!$D$16=Rates!$C$47,N20,K20))</f>
        <v>55.7395</v>
      </c>
      <c r="U20" s="96" t="n">
        <f aca="false">IF(OR(Calculator!$B$13=Rates!$A$47,Calculator!$B$13=C20),1,0)</f>
        <v>1</v>
      </c>
      <c r="V20" s="96" t="n">
        <f aca="false">IF(G20&gt;=Calculator!$B$10,1,0)</f>
        <v>1</v>
      </c>
      <c r="W20" s="97" t="n">
        <f aca="false">IF(AND(U20=1,V20=1),AD20,1000000000)</f>
        <v>55.739501</v>
      </c>
      <c r="X20" s="97" t="n">
        <f aca="false">IF(AND(C20=Rates!$A$45,V20=1),AD20,1000000000)</f>
        <v>55.739501</v>
      </c>
      <c r="Y20" s="97" t="n">
        <f aca="false">IF(AND(C20=Rates!$A$46,V20=1),AD20,1000000000)</f>
        <v>1000000000</v>
      </c>
      <c r="Z20" s="98" t="n">
        <v>1555</v>
      </c>
      <c r="AA20" s="99" t="n">
        <f aca="false">Z20*F20</f>
        <v>24880</v>
      </c>
      <c r="AB20" s="99" t="n">
        <f aca="false">IFERROR(AA20/Calculator!$B$129*Rates!$B$108*Rates!$B$109,0)</f>
        <v>3980.8</v>
      </c>
      <c r="AC20" s="99" t="n">
        <f aca="false">IF(Inference!$B$16&lt;=0,1,IF(AB20&lt;=0,1000000000,MAX(1,ROUNDUP(Inference!$B$16/AB20,0))))</f>
        <v>1</v>
      </c>
      <c r="AD20" s="97" t="n">
        <f aca="false">T20*AC20+AC20/1000000</f>
        <v>55.739501</v>
      </c>
    </row>
    <row r="21" customFormat="false" ht="15" hidden="false" customHeight="true" outlineLevel="0" collapsed="false">
      <c r="A21" s="90" t="n">
        <v>4</v>
      </c>
      <c r="B21" s="91" t="s">
        <v>362</v>
      </c>
      <c r="C21" s="92" t="s">
        <v>259</v>
      </c>
      <c r="D21" s="92" t="s">
        <v>363</v>
      </c>
      <c r="E21" s="90" t="n">
        <v>80</v>
      </c>
      <c r="F21" s="90" t="n">
        <v>1</v>
      </c>
      <c r="G21" s="90" t="n">
        <f aca="false">E21*F21</f>
        <v>80</v>
      </c>
      <c r="H21" s="92" t="s">
        <v>364</v>
      </c>
      <c r="I21" s="90" t="n">
        <v>24</v>
      </c>
      <c r="J21" s="90" t="n">
        <v>220</v>
      </c>
      <c r="K21" s="93" t="n">
        <v>3.673</v>
      </c>
      <c r="L21" s="93" t="n">
        <v>0.67877</v>
      </c>
      <c r="M21" s="92" t="s">
        <v>319</v>
      </c>
      <c r="N21" s="93" t="n">
        <f aca="false">K21*IF(C21=Rates!$A$45,Rates!$B$29,Rates!$C$29)</f>
        <v>2.38745</v>
      </c>
      <c r="O21" s="94" t="n">
        <f aca="false">K21*Rates!$B$30</f>
        <v>2681.29</v>
      </c>
      <c r="P21" s="91" t="s">
        <v>365</v>
      </c>
      <c r="Q21" s="92" t="s">
        <v>321</v>
      </c>
      <c r="R21" s="91" t="s">
        <v>345</v>
      </c>
      <c r="S21" s="92" t="str">
        <f aca="false">C21&amp;" | "&amp;H21</f>
        <v>Microsoft Azure | Standard_NC24ads_A100_v4</v>
      </c>
      <c r="T21" s="95" t="n">
        <f aca="false">IF(Calculator!$D$16=Rates!$C$46,L21,IF(Calculator!$D$16=Rates!$C$47,N21,K21))</f>
        <v>3.673</v>
      </c>
      <c r="U21" s="96" t="n">
        <f aca="false">IF(OR(Calculator!$B$13=Rates!$A$47,Calculator!$B$13=C21),1,0)</f>
        <v>1</v>
      </c>
      <c r="V21" s="96" t="n">
        <f aca="false">IF(G21&gt;=Calculator!$B$10,1,0)</f>
        <v>0</v>
      </c>
      <c r="W21" s="97" t="n">
        <f aca="false">IF(AND(U21=1,V21=1),AD21,1000000000)</f>
        <v>1000000000</v>
      </c>
      <c r="X21" s="97" t="n">
        <f aca="false">IF(AND(C21=Rates!$A$45,V21=1),AD21,1000000000)</f>
        <v>1000000000</v>
      </c>
      <c r="Y21" s="97" t="n">
        <f aca="false">IF(AND(C21=Rates!$A$46,V21=1),AD21,1000000000)</f>
        <v>1000000000</v>
      </c>
      <c r="Z21" s="98" t="n">
        <v>2039</v>
      </c>
      <c r="AA21" s="99" t="n">
        <f aca="false">Z21*F21</f>
        <v>2039</v>
      </c>
      <c r="AB21" s="99" t="n">
        <f aca="false">IFERROR(AA21/Calculator!$B$129*Rates!$B$108*Rates!$B$109,0)</f>
        <v>326.24</v>
      </c>
      <c r="AC21" s="99" t="n">
        <f aca="false">IF(Inference!$B$16&lt;=0,1,IF(AB21&lt;=0,1000000000,MAX(1,ROUNDUP(Inference!$B$16/AB21,0))))</f>
        <v>1</v>
      </c>
      <c r="AD21" s="97" t="n">
        <f aca="false">T21*AC21+AC21/1000000</f>
        <v>3.673001</v>
      </c>
    </row>
    <row r="22" customFormat="false" ht="15" hidden="false" customHeight="true" outlineLevel="0" collapsed="false">
      <c r="A22" s="100" t="n">
        <v>4</v>
      </c>
      <c r="B22" s="101" t="s">
        <v>362</v>
      </c>
      <c r="C22" s="102" t="s">
        <v>258</v>
      </c>
      <c r="D22" s="102" t="s">
        <v>363</v>
      </c>
      <c r="E22" s="100" t="n">
        <v>80</v>
      </c>
      <c r="F22" s="100" t="n">
        <v>1</v>
      </c>
      <c r="G22" s="100" t="n">
        <f aca="false">E22*F22</f>
        <v>80</v>
      </c>
      <c r="H22" s="102" t="s">
        <v>366</v>
      </c>
      <c r="I22" s="100" t="n">
        <v>12</v>
      </c>
      <c r="J22" s="100" t="n">
        <v>170</v>
      </c>
      <c r="K22" s="103" t="n">
        <v>5.0688</v>
      </c>
      <c r="L22" s="103" t="n">
        <v>2.025</v>
      </c>
      <c r="M22" s="102" t="s">
        <v>319</v>
      </c>
      <c r="N22" s="103" t="n">
        <f aca="false">K22*IF(C22=Rates!$A$45,Rates!$B$29,Rates!$C$29)</f>
        <v>3.54816</v>
      </c>
      <c r="O22" s="104" t="n">
        <f aca="false">K22*Rates!$B$30</f>
        <v>3700.224</v>
      </c>
      <c r="P22" s="101" t="s">
        <v>367</v>
      </c>
      <c r="Q22" s="102" t="s">
        <v>321</v>
      </c>
      <c r="R22" s="101" t="s">
        <v>337</v>
      </c>
      <c r="S22" s="102" t="str">
        <f aca="false">C22&amp;" | "&amp;H22</f>
        <v>Google Cloud | a2-ultragpu-1g</v>
      </c>
      <c r="T22" s="95" t="n">
        <f aca="false">IF(Calculator!$D$16=Rates!$C$46,L22,IF(Calculator!$D$16=Rates!$C$47,N22,K22))</f>
        <v>5.0688</v>
      </c>
      <c r="U22" s="96" t="n">
        <f aca="false">IF(OR(Calculator!$B$13=Rates!$A$47,Calculator!$B$13=C22),1,0)</f>
        <v>1</v>
      </c>
      <c r="V22" s="96" t="n">
        <f aca="false">IF(G22&gt;=Calculator!$B$10,1,0)</f>
        <v>0</v>
      </c>
      <c r="W22" s="97" t="n">
        <f aca="false">IF(AND(U22=1,V22=1),AD22,1000000000)</f>
        <v>1000000000</v>
      </c>
      <c r="X22" s="97" t="n">
        <f aca="false">IF(AND(C22=Rates!$A$45,V22=1),AD22,1000000000)</f>
        <v>1000000000</v>
      </c>
      <c r="Y22" s="97" t="n">
        <f aca="false">IF(AND(C22=Rates!$A$46,V22=1),AD22,1000000000)</f>
        <v>1000000000</v>
      </c>
      <c r="Z22" s="98" t="n">
        <v>2039</v>
      </c>
      <c r="AA22" s="99" t="n">
        <f aca="false">Z22*F22</f>
        <v>2039</v>
      </c>
      <c r="AB22" s="99" t="n">
        <f aca="false">IFERROR(AA22/Calculator!$B$129*Rates!$B$108*Rates!$B$109,0)</f>
        <v>326.24</v>
      </c>
      <c r="AC22" s="99" t="n">
        <f aca="false">IF(Inference!$B$16&lt;=0,1,IF(AB22&lt;=0,1000000000,MAX(1,ROUNDUP(Inference!$B$16/AB22,0))))</f>
        <v>1</v>
      </c>
      <c r="AD22" s="97" t="n">
        <f aca="false">T22*AC22+AC22/1000000</f>
        <v>5.068801</v>
      </c>
    </row>
    <row r="23" customFormat="false" ht="23.25" hidden="false" customHeight="true" outlineLevel="0" collapsed="false">
      <c r="A23" s="90" t="n">
        <v>4</v>
      </c>
      <c r="B23" s="91" t="s">
        <v>362</v>
      </c>
      <c r="C23" s="92" t="s">
        <v>259</v>
      </c>
      <c r="D23" s="92" t="s">
        <v>363</v>
      </c>
      <c r="E23" s="90" t="n">
        <v>80</v>
      </c>
      <c r="F23" s="90" t="n">
        <v>2</v>
      </c>
      <c r="G23" s="90" t="n">
        <f aca="false">E23*F23</f>
        <v>160</v>
      </c>
      <c r="H23" s="92" t="s">
        <v>368</v>
      </c>
      <c r="I23" s="90" t="n">
        <v>48</v>
      </c>
      <c r="J23" s="90" t="n">
        <v>440</v>
      </c>
      <c r="K23" s="93" t="n">
        <v>7.346</v>
      </c>
      <c r="L23" s="93" t="n">
        <f aca="false">K23*IF(C23=Rates!$A$45,Rates!$B$28,Rates!$C$28)</f>
        <v>1.39574</v>
      </c>
      <c r="M23" s="92" t="s">
        <v>324</v>
      </c>
      <c r="N23" s="93" t="n">
        <f aca="false">K23*IF(C23=Rates!$A$45,Rates!$B$29,Rates!$C$29)</f>
        <v>4.7749</v>
      </c>
      <c r="O23" s="94" t="n">
        <f aca="false">K23*Rates!$B$30</f>
        <v>5362.58</v>
      </c>
      <c r="P23" s="91" t="s">
        <v>369</v>
      </c>
      <c r="Q23" s="92" t="s">
        <v>370</v>
      </c>
      <c r="R23" s="91" t="s">
        <v>371</v>
      </c>
      <c r="S23" s="92" t="str">
        <f aca="false">C23&amp;" | "&amp;H23</f>
        <v>Microsoft Azure | Standard_NC48ads_A100_v4</v>
      </c>
      <c r="T23" s="95" t="n">
        <f aca="false">IF(Calculator!$D$16=Rates!$C$46,L23,IF(Calculator!$D$16=Rates!$C$47,N23,K23))</f>
        <v>7.346</v>
      </c>
      <c r="U23" s="96" t="n">
        <f aca="false">IF(OR(Calculator!$B$13=Rates!$A$47,Calculator!$B$13=C23),1,0)</f>
        <v>1</v>
      </c>
      <c r="V23" s="96" t="n">
        <f aca="false">IF(G23&gt;=Calculator!$B$10,1,0)</f>
        <v>1</v>
      </c>
      <c r="W23" s="97" t="n">
        <f aca="false">IF(AND(U23=1,V23=1),AD23,1000000000)</f>
        <v>7.346001</v>
      </c>
      <c r="X23" s="97" t="n">
        <f aca="false">IF(AND(C23=Rates!$A$45,V23=1),AD23,1000000000)</f>
        <v>1000000000</v>
      </c>
      <c r="Y23" s="97" t="n">
        <f aca="false">IF(AND(C23=Rates!$A$46,V23=1),AD23,1000000000)</f>
        <v>7.346001</v>
      </c>
      <c r="Z23" s="98" t="n">
        <v>2039</v>
      </c>
      <c r="AA23" s="99" t="n">
        <f aca="false">Z23*F23</f>
        <v>4078</v>
      </c>
      <c r="AB23" s="99" t="n">
        <f aca="false">IFERROR(AA23/Calculator!$B$129*Rates!$B$108*Rates!$B$109,0)</f>
        <v>652.48</v>
      </c>
      <c r="AC23" s="99" t="n">
        <f aca="false">IF(Inference!$B$16&lt;=0,1,IF(AB23&lt;=0,1000000000,MAX(1,ROUNDUP(Inference!$B$16/AB23,0))))</f>
        <v>1</v>
      </c>
      <c r="AD23" s="97" t="n">
        <f aca="false">T23*AC23+AC23/1000000</f>
        <v>7.346001</v>
      </c>
    </row>
    <row r="24" customFormat="false" ht="15" hidden="false" customHeight="true" outlineLevel="0" collapsed="false">
      <c r="A24" s="100" t="n">
        <v>4</v>
      </c>
      <c r="B24" s="101" t="s">
        <v>362</v>
      </c>
      <c r="C24" s="102" t="s">
        <v>258</v>
      </c>
      <c r="D24" s="102" t="s">
        <v>363</v>
      </c>
      <c r="E24" s="100" t="n">
        <v>80</v>
      </c>
      <c r="F24" s="100" t="n">
        <v>2</v>
      </c>
      <c r="G24" s="100" t="n">
        <f aca="false">E24*F24</f>
        <v>160</v>
      </c>
      <c r="H24" s="102" t="s">
        <v>372</v>
      </c>
      <c r="I24" s="100" t="n">
        <v>24</v>
      </c>
      <c r="J24" s="100" t="n">
        <v>340</v>
      </c>
      <c r="K24" s="103" t="n">
        <v>10.1376</v>
      </c>
      <c r="L24" s="103" t="n">
        <v>4.05</v>
      </c>
      <c r="M24" s="102" t="s">
        <v>319</v>
      </c>
      <c r="N24" s="103" t="n">
        <f aca="false">K24*IF(C24=Rates!$A$45,Rates!$B$29,Rates!$C$29)</f>
        <v>7.09632</v>
      </c>
      <c r="O24" s="104" t="n">
        <f aca="false">K24*Rates!$B$30</f>
        <v>7400.448</v>
      </c>
      <c r="P24" s="101" t="s">
        <v>369</v>
      </c>
      <c r="Q24" s="102" t="s">
        <v>321</v>
      </c>
      <c r="R24" s="101" t="s">
        <v>337</v>
      </c>
      <c r="S24" s="102" t="str">
        <f aca="false">C24&amp;" | "&amp;H24</f>
        <v>Google Cloud | a2-ultragpu-2g</v>
      </c>
      <c r="T24" s="95" t="n">
        <f aca="false">IF(Calculator!$D$16=Rates!$C$46,L24,IF(Calculator!$D$16=Rates!$C$47,N24,K24))</f>
        <v>10.1376</v>
      </c>
      <c r="U24" s="96" t="n">
        <f aca="false">IF(OR(Calculator!$B$13=Rates!$A$47,Calculator!$B$13=C24),1,0)</f>
        <v>1</v>
      </c>
      <c r="V24" s="96" t="n">
        <f aca="false">IF(G24&gt;=Calculator!$B$10,1,0)</f>
        <v>1</v>
      </c>
      <c r="W24" s="97" t="n">
        <f aca="false">IF(AND(U24=1,V24=1),AD24,1000000000)</f>
        <v>10.137601</v>
      </c>
      <c r="X24" s="97" t="n">
        <f aca="false">IF(AND(C24=Rates!$A$45,V24=1),AD24,1000000000)</f>
        <v>10.137601</v>
      </c>
      <c r="Y24" s="97" t="n">
        <f aca="false">IF(AND(C24=Rates!$A$46,V24=1),AD24,1000000000)</f>
        <v>1000000000</v>
      </c>
      <c r="Z24" s="98" t="n">
        <v>2039</v>
      </c>
      <c r="AA24" s="99" t="n">
        <f aca="false">Z24*F24</f>
        <v>4078</v>
      </c>
      <c r="AB24" s="99" t="n">
        <f aca="false">IFERROR(AA24/Calculator!$B$129*Rates!$B$108*Rates!$B$109,0)</f>
        <v>652.48</v>
      </c>
      <c r="AC24" s="99" t="n">
        <f aca="false">IF(Inference!$B$16&lt;=0,1,IF(AB24&lt;=0,1000000000,MAX(1,ROUNDUP(Inference!$B$16/AB24,0))))</f>
        <v>1</v>
      </c>
      <c r="AD24" s="97" t="n">
        <f aca="false">T24*AC24+AC24/1000000</f>
        <v>10.137601</v>
      </c>
    </row>
    <row r="25" customFormat="false" ht="23.25" hidden="false" customHeight="true" outlineLevel="0" collapsed="false">
      <c r="A25" s="90" t="n">
        <v>4</v>
      </c>
      <c r="B25" s="91" t="s">
        <v>362</v>
      </c>
      <c r="C25" s="92" t="s">
        <v>259</v>
      </c>
      <c r="D25" s="92" t="s">
        <v>363</v>
      </c>
      <c r="E25" s="90" t="n">
        <v>80</v>
      </c>
      <c r="F25" s="90" t="n">
        <v>4</v>
      </c>
      <c r="G25" s="90" t="n">
        <f aca="false">E25*F25</f>
        <v>320</v>
      </c>
      <c r="H25" s="92" t="s">
        <v>373</v>
      </c>
      <c r="I25" s="90" t="n">
        <v>96</v>
      </c>
      <c r="J25" s="90" t="n">
        <v>880</v>
      </c>
      <c r="K25" s="93" t="n">
        <v>14.692</v>
      </c>
      <c r="L25" s="93" t="n">
        <f aca="false">K25*IF(C25=Rates!$A$45,Rates!$B$28,Rates!$C$28)</f>
        <v>2.79148</v>
      </c>
      <c r="M25" s="92" t="s">
        <v>324</v>
      </c>
      <c r="N25" s="93" t="n">
        <f aca="false">K25*IF(C25=Rates!$A$45,Rates!$B$29,Rates!$C$29)</f>
        <v>9.5498</v>
      </c>
      <c r="O25" s="94" t="n">
        <f aca="false">K25*Rates!$B$30</f>
        <v>10725.16</v>
      </c>
      <c r="P25" s="91" t="s">
        <v>374</v>
      </c>
      <c r="Q25" s="92" t="s">
        <v>370</v>
      </c>
      <c r="R25" s="91" t="s">
        <v>375</v>
      </c>
      <c r="S25" s="92" t="str">
        <f aca="false">C25&amp;" | "&amp;H25</f>
        <v>Microsoft Azure | Standard_NC96ads_A100_v4</v>
      </c>
      <c r="T25" s="95" t="n">
        <f aca="false">IF(Calculator!$D$16=Rates!$C$46,L25,IF(Calculator!$D$16=Rates!$C$47,N25,K25))</f>
        <v>14.692</v>
      </c>
      <c r="U25" s="96" t="n">
        <f aca="false">IF(OR(Calculator!$B$13=Rates!$A$47,Calculator!$B$13=C25),1,0)</f>
        <v>1</v>
      </c>
      <c r="V25" s="96" t="n">
        <f aca="false">IF(G25&gt;=Calculator!$B$10,1,0)</f>
        <v>1</v>
      </c>
      <c r="W25" s="97" t="n">
        <f aca="false">IF(AND(U25=1,V25=1),AD25,1000000000)</f>
        <v>14.692001</v>
      </c>
      <c r="X25" s="97" t="n">
        <f aca="false">IF(AND(C25=Rates!$A$45,V25=1),AD25,1000000000)</f>
        <v>1000000000</v>
      </c>
      <c r="Y25" s="97" t="n">
        <f aca="false">IF(AND(C25=Rates!$A$46,V25=1),AD25,1000000000)</f>
        <v>14.692001</v>
      </c>
      <c r="Z25" s="98" t="n">
        <v>2039</v>
      </c>
      <c r="AA25" s="99" t="n">
        <f aca="false">Z25*F25</f>
        <v>8156</v>
      </c>
      <c r="AB25" s="99" t="n">
        <f aca="false">IFERROR(AA25/Calculator!$B$129*Rates!$B$108*Rates!$B$109,0)</f>
        <v>1304.96</v>
      </c>
      <c r="AC25" s="99" t="n">
        <f aca="false">IF(Inference!$B$16&lt;=0,1,IF(AB25&lt;=0,1000000000,MAX(1,ROUNDUP(Inference!$B$16/AB25,0))))</f>
        <v>1</v>
      </c>
      <c r="AD25" s="97" t="n">
        <f aca="false">T25*AC25+AC25/1000000</f>
        <v>14.692001</v>
      </c>
    </row>
    <row r="26" customFormat="false" ht="15" hidden="false" customHeight="true" outlineLevel="0" collapsed="false">
      <c r="A26" s="100" t="n">
        <v>4</v>
      </c>
      <c r="B26" s="101" t="s">
        <v>362</v>
      </c>
      <c r="C26" s="102" t="s">
        <v>258</v>
      </c>
      <c r="D26" s="102" t="s">
        <v>363</v>
      </c>
      <c r="E26" s="100" t="n">
        <v>80</v>
      </c>
      <c r="F26" s="100" t="n">
        <v>4</v>
      </c>
      <c r="G26" s="100" t="n">
        <f aca="false">E26*F26</f>
        <v>320</v>
      </c>
      <c r="H26" s="102" t="s">
        <v>376</v>
      </c>
      <c r="I26" s="100" t="n">
        <v>48</v>
      </c>
      <c r="J26" s="100" t="n">
        <v>680</v>
      </c>
      <c r="K26" s="103" t="n">
        <v>20.2752</v>
      </c>
      <c r="L26" s="103" t="n">
        <v>8.1</v>
      </c>
      <c r="M26" s="102" t="s">
        <v>319</v>
      </c>
      <c r="N26" s="103" t="n">
        <f aca="false">K26*IF(C26=Rates!$A$45,Rates!$B$29,Rates!$C$29)</f>
        <v>14.19264</v>
      </c>
      <c r="O26" s="104" t="n">
        <f aca="false">K26*Rates!$B$30</f>
        <v>14800.896</v>
      </c>
      <c r="P26" s="101" t="s">
        <v>374</v>
      </c>
      <c r="Q26" s="102" t="s">
        <v>321</v>
      </c>
      <c r="R26" s="101" t="s">
        <v>337</v>
      </c>
      <c r="S26" s="102" t="str">
        <f aca="false">C26&amp;" | "&amp;H26</f>
        <v>Google Cloud | a2-ultragpu-4g</v>
      </c>
      <c r="T26" s="95" t="n">
        <f aca="false">IF(Calculator!$D$16=Rates!$C$46,L26,IF(Calculator!$D$16=Rates!$C$47,N26,K26))</f>
        <v>20.2752</v>
      </c>
      <c r="U26" s="96" t="n">
        <f aca="false">IF(OR(Calculator!$B$13=Rates!$A$47,Calculator!$B$13=C26),1,0)</f>
        <v>1</v>
      </c>
      <c r="V26" s="96" t="n">
        <f aca="false">IF(G26&gt;=Calculator!$B$10,1,0)</f>
        <v>1</v>
      </c>
      <c r="W26" s="97" t="n">
        <f aca="false">IF(AND(U26=1,V26=1),AD26,1000000000)</f>
        <v>20.275201</v>
      </c>
      <c r="X26" s="97" t="n">
        <f aca="false">IF(AND(C26=Rates!$A$45,V26=1),AD26,1000000000)</f>
        <v>20.275201</v>
      </c>
      <c r="Y26" s="97" t="n">
        <f aca="false">IF(AND(C26=Rates!$A$46,V26=1),AD26,1000000000)</f>
        <v>1000000000</v>
      </c>
      <c r="Z26" s="98" t="n">
        <v>2039</v>
      </c>
      <c r="AA26" s="99" t="n">
        <f aca="false">Z26*F26</f>
        <v>8156</v>
      </c>
      <c r="AB26" s="99" t="n">
        <f aca="false">IFERROR(AA26/Calculator!$B$129*Rates!$B$108*Rates!$B$109,0)</f>
        <v>1304.96</v>
      </c>
      <c r="AC26" s="99" t="n">
        <f aca="false">IF(Inference!$B$16&lt;=0,1,IF(AB26&lt;=0,1000000000,MAX(1,ROUNDUP(Inference!$B$16/AB26,0))))</f>
        <v>1</v>
      </c>
      <c r="AD26" s="97" t="n">
        <f aca="false">T26*AC26+AC26/1000000</f>
        <v>20.275201</v>
      </c>
    </row>
    <row r="27" customFormat="false" ht="15" hidden="false" customHeight="true" outlineLevel="0" collapsed="false">
      <c r="A27" s="90" t="n">
        <v>4</v>
      </c>
      <c r="B27" s="91" t="s">
        <v>362</v>
      </c>
      <c r="C27" s="92" t="s">
        <v>258</v>
      </c>
      <c r="D27" s="92" t="s">
        <v>363</v>
      </c>
      <c r="E27" s="90" t="n">
        <v>80</v>
      </c>
      <c r="F27" s="90" t="n">
        <v>8</v>
      </c>
      <c r="G27" s="90" t="n">
        <f aca="false">E27*F27</f>
        <v>640</v>
      </c>
      <c r="H27" s="92" t="s">
        <v>377</v>
      </c>
      <c r="I27" s="90" t="n">
        <v>96</v>
      </c>
      <c r="J27" s="90" t="n">
        <v>1360</v>
      </c>
      <c r="K27" s="93" t="n">
        <v>40.5504</v>
      </c>
      <c r="L27" s="93" t="n">
        <v>16.2</v>
      </c>
      <c r="M27" s="92" t="s">
        <v>319</v>
      </c>
      <c r="N27" s="93" t="n">
        <f aca="false">K27*IF(C27=Rates!$A$45,Rates!$B$29,Rates!$C$29)</f>
        <v>28.38528</v>
      </c>
      <c r="O27" s="94" t="n">
        <f aca="false">K27*Rates!$B$30</f>
        <v>29601.792</v>
      </c>
      <c r="P27" s="91" t="s">
        <v>378</v>
      </c>
      <c r="Q27" s="92" t="s">
        <v>321</v>
      </c>
      <c r="R27" s="91" t="s">
        <v>337</v>
      </c>
      <c r="S27" s="92" t="str">
        <f aca="false">C27&amp;" | "&amp;H27</f>
        <v>Google Cloud | a2-ultragpu-8g</v>
      </c>
      <c r="T27" s="95" t="n">
        <f aca="false">IF(Calculator!$D$16=Rates!$C$46,L27,IF(Calculator!$D$16=Rates!$C$47,N27,K27))</f>
        <v>40.5504</v>
      </c>
      <c r="U27" s="96" t="n">
        <f aca="false">IF(OR(Calculator!$B$13=Rates!$A$47,Calculator!$B$13=C27),1,0)</f>
        <v>1</v>
      </c>
      <c r="V27" s="96" t="n">
        <f aca="false">IF(G27&gt;=Calculator!$B$10,1,0)</f>
        <v>1</v>
      </c>
      <c r="W27" s="97" t="n">
        <f aca="false">IF(AND(U27=1,V27=1),AD27,1000000000)</f>
        <v>40.550401</v>
      </c>
      <c r="X27" s="97" t="n">
        <f aca="false">IF(AND(C27=Rates!$A$45,V27=1),AD27,1000000000)</f>
        <v>40.550401</v>
      </c>
      <c r="Y27" s="97" t="n">
        <f aca="false">IF(AND(C27=Rates!$A$46,V27=1),AD27,1000000000)</f>
        <v>1000000000</v>
      </c>
      <c r="Z27" s="98" t="n">
        <v>2039</v>
      </c>
      <c r="AA27" s="99" t="n">
        <f aca="false">Z27*F27</f>
        <v>16312</v>
      </c>
      <c r="AB27" s="99" t="n">
        <f aca="false">IFERROR(AA27/Calculator!$B$129*Rates!$B$108*Rates!$B$109,0)</f>
        <v>2609.92</v>
      </c>
      <c r="AC27" s="99" t="n">
        <f aca="false">IF(Inference!$B$16&lt;=0,1,IF(AB27&lt;=0,1000000000,MAX(1,ROUNDUP(Inference!$B$16/AB27,0))))</f>
        <v>1</v>
      </c>
      <c r="AD27" s="97" t="n">
        <f aca="false">T27*AC27+AC27/1000000</f>
        <v>40.550401</v>
      </c>
    </row>
    <row r="28" customFormat="false" ht="23.25" hidden="false" customHeight="true" outlineLevel="0" collapsed="false">
      <c r="A28" s="100" t="n">
        <v>5</v>
      </c>
      <c r="B28" s="101" t="s">
        <v>379</v>
      </c>
      <c r="C28" s="102" t="s">
        <v>259</v>
      </c>
      <c r="D28" s="102" t="s">
        <v>380</v>
      </c>
      <c r="E28" s="100" t="n">
        <v>94</v>
      </c>
      <c r="F28" s="100" t="n">
        <v>1</v>
      </c>
      <c r="G28" s="100" t="n">
        <f aca="false">E28*F28</f>
        <v>94</v>
      </c>
      <c r="H28" s="102" t="s">
        <v>381</v>
      </c>
      <c r="I28" s="100" t="n">
        <v>40</v>
      </c>
      <c r="J28" s="100" t="n">
        <v>320</v>
      </c>
      <c r="K28" s="103" t="n">
        <v>6.98</v>
      </c>
      <c r="L28" s="103" t="n">
        <f aca="false">K28*IF(C28=Rates!$A$45,Rates!$B$28,Rates!$C$28)</f>
        <v>1.3262</v>
      </c>
      <c r="M28" s="102" t="s">
        <v>324</v>
      </c>
      <c r="N28" s="103" t="n">
        <f aca="false">K28*IF(C28=Rates!$A$45,Rates!$B$29,Rates!$C$29)</f>
        <v>4.537</v>
      </c>
      <c r="O28" s="104" t="n">
        <f aca="false">K28*Rates!$B$30</f>
        <v>5095.4</v>
      </c>
      <c r="P28" s="101" t="s">
        <v>382</v>
      </c>
      <c r="Q28" s="102" t="s">
        <v>321</v>
      </c>
      <c r="R28" s="101" t="s">
        <v>383</v>
      </c>
      <c r="S28" s="102" t="str">
        <f aca="false">C28&amp;" | "&amp;H28</f>
        <v>Microsoft Azure | Standard_NC40ads_H100_v5</v>
      </c>
      <c r="T28" s="95" t="n">
        <f aca="false">IF(Calculator!$D$16=Rates!$C$46,L28,IF(Calculator!$D$16=Rates!$C$47,N28,K28))</f>
        <v>6.98</v>
      </c>
      <c r="U28" s="96" t="n">
        <f aca="false">IF(OR(Calculator!$B$13=Rates!$A$47,Calculator!$B$13=C28),1,0)</f>
        <v>1</v>
      </c>
      <c r="V28" s="96" t="n">
        <f aca="false">IF(G28&gt;=Calculator!$B$10,1,0)</f>
        <v>1</v>
      </c>
      <c r="W28" s="97" t="n">
        <f aca="false">IF(AND(U28=1,V28=1),AD28,1000000000)</f>
        <v>6.980001</v>
      </c>
      <c r="X28" s="97" t="n">
        <f aca="false">IF(AND(C28=Rates!$A$45,V28=1),AD28,1000000000)</f>
        <v>1000000000</v>
      </c>
      <c r="Y28" s="97" t="n">
        <f aca="false">IF(AND(C28=Rates!$A$46,V28=1),AD28,1000000000)</f>
        <v>6.980001</v>
      </c>
      <c r="Z28" s="98" t="n">
        <v>3900</v>
      </c>
      <c r="AA28" s="99" t="n">
        <f aca="false">Z28*F28</f>
        <v>3900</v>
      </c>
      <c r="AB28" s="99" t="n">
        <f aca="false">IFERROR(AA28/Calculator!$B$129*Rates!$B$108*Rates!$B$109,0)</f>
        <v>624</v>
      </c>
      <c r="AC28" s="99" t="n">
        <f aca="false">IF(Inference!$B$16&lt;=0,1,IF(AB28&lt;=0,1000000000,MAX(1,ROUNDUP(Inference!$B$16/AB28,0))))</f>
        <v>1</v>
      </c>
      <c r="AD28" s="97" t="n">
        <f aca="false">T28*AC28+AC28/1000000</f>
        <v>6.980001</v>
      </c>
    </row>
    <row r="29" customFormat="false" ht="23.25" hidden="false" customHeight="true" outlineLevel="0" collapsed="false">
      <c r="A29" s="90" t="n">
        <v>5</v>
      </c>
      <c r="B29" s="91" t="s">
        <v>379</v>
      </c>
      <c r="C29" s="92" t="s">
        <v>259</v>
      </c>
      <c r="D29" s="92" t="s">
        <v>380</v>
      </c>
      <c r="E29" s="90" t="n">
        <v>94</v>
      </c>
      <c r="F29" s="90" t="n">
        <v>2</v>
      </c>
      <c r="G29" s="90" t="n">
        <f aca="false">E29*F29</f>
        <v>188</v>
      </c>
      <c r="H29" s="92" t="s">
        <v>384</v>
      </c>
      <c r="I29" s="90" t="n">
        <v>80</v>
      </c>
      <c r="J29" s="90" t="n">
        <v>640</v>
      </c>
      <c r="K29" s="93" t="n">
        <v>13.96</v>
      </c>
      <c r="L29" s="93" t="n">
        <f aca="false">K29*IF(C29=Rates!$A$45,Rates!$B$28,Rates!$C$28)</f>
        <v>2.6524</v>
      </c>
      <c r="M29" s="92" t="s">
        <v>324</v>
      </c>
      <c r="N29" s="93" t="n">
        <f aca="false">K29*IF(C29=Rates!$A$45,Rates!$B$29,Rates!$C$29)</f>
        <v>9.074</v>
      </c>
      <c r="O29" s="94" t="n">
        <f aca="false">K29*Rates!$B$30</f>
        <v>10190.8</v>
      </c>
      <c r="P29" s="91" t="s">
        <v>385</v>
      </c>
      <c r="Q29" s="92" t="s">
        <v>370</v>
      </c>
      <c r="R29" s="91" t="s">
        <v>386</v>
      </c>
      <c r="S29" s="92" t="str">
        <f aca="false">C29&amp;" | "&amp;H29</f>
        <v>Microsoft Azure | Standard_NC80adis_H100_v5</v>
      </c>
      <c r="T29" s="95" t="n">
        <f aca="false">IF(Calculator!$D$16=Rates!$C$46,L29,IF(Calculator!$D$16=Rates!$C$47,N29,K29))</f>
        <v>13.96</v>
      </c>
      <c r="U29" s="96" t="n">
        <f aca="false">IF(OR(Calculator!$B$13=Rates!$A$47,Calculator!$B$13=C29),1,0)</f>
        <v>1</v>
      </c>
      <c r="V29" s="96" t="n">
        <f aca="false">IF(G29&gt;=Calculator!$B$10,1,0)</f>
        <v>1</v>
      </c>
      <c r="W29" s="97" t="n">
        <f aca="false">IF(AND(U29=1,V29=1),AD29,1000000000)</f>
        <v>13.960001</v>
      </c>
      <c r="X29" s="97" t="n">
        <f aca="false">IF(AND(C29=Rates!$A$45,V29=1),AD29,1000000000)</f>
        <v>1000000000</v>
      </c>
      <c r="Y29" s="97" t="n">
        <f aca="false">IF(AND(C29=Rates!$A$46,V29=1),AD29,1000000000)</f>
        <v>13.960001</v>
      </c>
      <c r="Z29" s="98" t="n">
        <v>3900</v>
      </c>
      <c r="AA29" s="99" t="n">
        <f aca="false">Z29*F29</f>
        <v>7800</v>
      </c>
      <c r="AB29" s="99" t="n">
        <f aca="false">IFERROR(AA29/Calculator!$B$129*Rates!$B$108*Rates!$B$109,0)</f>
        <v>1248</v>
      </c>
      <c r="AC29" s="99" t="n">
        <f aca="false">IF(Inference!$B$16&lt;=0,1,IF(AB29&lt;=0,1000000000,MAX(1,ROUNDUP(Inference!$B$16/AB29,0))))</f>
        <v>1</v>
      </c>
      <c r="AD29" s="97" t="n">
        <f aca="false">T29*AC29+AC29/1000000</f>
        <v>13.960001</v>
      </c>
    </row>
    <row r="30" customFormat="false" ht="23.25" hidden="false" customHeight="true" outlineLevel="0" collapsed="false">
      <c r="A30" s="100" t="n">
        <v>6</v>
      </c>
      <c r="B30" s="101" t="s">
        <v>387</v>
      </c>
      <c r="C30" s="102" t="s">
        <v>258</v>
      </c>
      <c r="D30" s="102" t="s">
        <v>388</v>
      </c>
      <c r="E30" s="100" t="n">
        <v>80</v>
      </c>
      <c r="F30" s="100" t="n">
        <v>8</v>
      </c>
      <c r="G30" s="100" t="n">
        <f aca="false">E30*F30</f>
        <v>640</v>
      </c>
      <c r="H30" s="102" t="s">
        <v>389</v>
      </c>
      <c r="I30" s="100" t="n">
        <v>208</v>
      </c>
      <c r="J30" s="100" t="n">
        <v>1872</v>
      </c>
      <c r="K30" s="103" t="n">
        <v>88.49</v>
      </c>
      <c r="L30" s="103" t="n">
        <v>29.52</v>
      </c>
      <c r="M30" s="102" t="s">
        <v>319</v>
      </c>
      <c r="N30" s="103" t="n">
        <f aca="false">K30*IF(C30=Rates!$A$45,Rates!$B$29,Rates!$C$29)</f>
        <v>61.943</v>
      </c>
      <c r="O30" s="104" t="n">
        <f aca="false">K30*Rates!$B$30</f>
        <v>64597.7</v>
      </c>
      <c r="P30" s="101" t="s">
        <v>390</v>
      </c>
      <c r="Q30" s="102" t="s">
        <v>321</v>
      </c>
      <c r="R30" s="101" t="s">
        <v>391</v>
      </c>
      <c r="S30" s="102" t="str">
        <f aca="false">C30&amp;" | "&amp;H30</f>
        <v>Google Cloud | a3-highgpu-8g</v>
      </c>
      <c r="T30" s="95" t="n">
        <f aca="false">IF(Calculator!$D$16=Rates!$C$46,L30,IF(Calculator!$D$16=Rates!$C$47,N30,K30))</f>
        <v>88.49</v>
      </c>
      <c r="U30" s="96" t="n">
        <f aca="false">IF(OR(Calculator!$B$13=Rates!$A$47,Calculator!$B$13=C30),1,0)</f>
        <v>1</v>
      </c>
      <c r="V30" s="96" t="n">
        <f aca="false">IF(G30&gt;=Calculator!$B$10,1,0)</f>
        <v>1</v>
      </c>
      <c r="W30" s="97" t="n">
        <f aca="false">IF(AND(U30=1,V30=1),AD30,1000000000)</f>
        <v>88.490001</v>
      </c>
      <c r="X30" s="97" t="n">
        <f aca="false">IF(AND(C30=Rates!$A$45,V30=1),AD30,1000000000)</f>
        <v>88.490001</v>
      </c>
      <c r="Y30" s="97" t="n">
        <f aca="false">IF(AND(C30=Rates!$A$46,V30=1),AD30,1000000000)</f>
        <v>1000000000</v>
      </c>
      <c r="Z30" s="98" t="n">
        <v>3350</v>
      </c>
      <c r="AA30" s="99" t="n">
        <f aca="false">Z30*F30</f>
        <v>26800</v>
      </c>
      <c r="AB30" s="99" t="n">
        <f aca="false">IFERROR(AA30/Calculator!$B$129*Rates!$B$108*Rates!$B$109,0)</f>
        <v>4288</v>
      </c>
      <c r="AC30" s="99" t="n">
        <f aca="false">IF(Inference!$B$16&lt;=0,1,IF(AB30&lt;=0,1000000000,MAX(1,ROUNDUP(Inference!$B$16/AB30,0))))</f>
        <v>1</v>
      </c>
      <c r="AD30" s="97" t="n">
        <f aca="false">T30*AC30+AC30/1000000</f>
        <v>88.490001</v>
      </c>
    </row>
    <row r="31" customFormat="false" ht="23.25" hidden="false" customHeight="true" outlineLevel="0" collapsed="false">
      <c r="A31" s="90" t="n">
        <v>6</v>
      </c>
      <c r="B31" s="91" t="s">
        <v>387</v>
      </c>
      <c r="C31" s="92" t="s">
        <v>259</v>
      </c>
      <c r="D31" s="92" t="s">
        <v>388</v>
      </c>
      <c r="E31" s="90" t="n">
        <v>80</v>
      </c>
      <c r="F31" s="90" t="n">
        <v>8</v>
      </c>
      <c r="G31" s="90" t="n">
        <f aca="false">E31*F31</f>
        <v>640</v>
      </c>
      <c r="H31" s="92" t="s">
        <v>392</v>
      </c>
      <c r="I31" s="90" t="n">
        <v>96</v>
      </c>
      <c r="J31" s="90" t="n">
        <v>1900</v>
      </c>
      <c r="K31" s="93" t="n">
        <v>98.32</v>
      </c>
      <c r="L31" s="93" t="n">
        <v>18.169536</v>
      </c>
      <c r="M31" s="92" t="s">
        <v>319</v>
      </c>
      <c r="N31" s="93" t="n">
        <f aca="false">K31*IF(C31=Rates!$A$45,Rates!$B$29,Rates!$C$29)</f>
        <v>63.908</v>
      </c>
      <c r="O31" s="94" t="n">
        <f aca="false">K31*Rates!$B$30</f>
        <v>71773.6</v>
      </c>
      <c r="P31" s="91" t="s">
        <v>393</v>
      </c>
      <c r="Q31" s="92" t="s">
        <v>321</v>
      </c>
      <c r="R31" s="91" t="s">
        <v>394</v>
      </c>
      <c r="S31" s="92" t="str">
        <f aca="false">C31&amp;" | "&amp;H31</f>
        <v>Microsoft Azure | Standard_ND96isr_H100_v5</v>
      </c>
      <c r="T31" s="95" t="n">
        <f aca="false">IF(Calculator!$D$16=Rates!$C$46,L31,IF(Calculator!$D$16=Rates!$C$47,N31,K31))</f>
        <v>98.32</v>
      </c>
      <c r="U31" s="96" t="n">
        <f aca="false">IF(OR(Calculator!$B$13=Rates!$A$47,Calculator!$B$13=C31),1,0)</f>
        <v>1</v>
      </c>
      <c r="V31" s="96" t="n">
        <f aca="false">IF(G31&gt;=Calculator!$B$10,1,0)</f>
        <v>1</v>
      </c>
      <c r="W31" s="97" t="n">
        <f aca="false">IF(AND(U31=1,V31=1),AD31,1000000000)</f>
        <v>98.320001</v>
      </c>
      <c r="X31" s="97" t="n">
        <f aca="false">IF(AND(C31=Rates!$A$45,V31=1),AD31,1000000000)</f>
        <v>1000000000</v>
      </c>
      <c r="Y31" s="97" t="n">
        <f aca="false">IF(AND(C31=Rates!$A$46,V31=1),AD31,1000000000)</f>
        <v>98.320001</v>
      </c>
      <c r="Z31" s="98" t="n">
        <v>3350</v>
      </c>
      <c r="AA31" s="99" t="n">
        <f aca="false">Z31*F31</f>
        <v>26800</v>
      </c>
      <c r="AB31" s="99" t="n">
        <f aca="false">IFERROR(AA31/Calculator!$B$129*Rates!$B$108*Rates!$B$109,0)</f>
        <v>4288</v>
      </c>
      <c r="AC31" s="99" t="n">
        <f aca="false">IF(Inference!$B$16&lt;=0,1,IF(AB31&lt;=0,1000000000,MAX(1,ROUNDUP(Inference!$B$16/AB31,0))))</f>
        <v>1</v>
      </c>
      <c r="AD31" s="97" t="n">
        <f aca="false">T31*AC31+AC31/1000000</f>
        <v>98.320001</v>
      </c>
    </row>
    <row r="32" customFormat="false" ht="23.25" hidden="false" customHeight="true" outlineLevel="0" collapsed="false">
      <c r="A32" s="100" t="n">
        <v>7</v>
      </c>
      <c r="B32" s="101" t="s">
        <v>395</v>
      </c>
      <c r="C32" s="102" t="s">
        <v>258</v>
      </c>
      <c r="D32" s="102" t="s">
        <v>396</v>
      </c>
      <c r="E32" s="100" t="n">
        <v>141</v>
      </c>
      <c r="F32" s="100" t="n">
        <v>8</v>
      </c>
      <c r="G32" s="100" t="n">
        <f aca="false">E32*F32</f>
        <v>1128</v>
      </c>
      <c r="H32" s="102" t="s">
        <v>397</v>
      </c>
      <c r="I32" s="100" t="n">
        <v>224</v>
      </c>
      <c r="J32" s="100" t="n">
        <v>2952</v>
      </c>
      <c r="K32" s="103" t="n">
        <v>84.81</v>
      </c>
      <c r="L32" s="103" t="n">
        <f aca="false">K32*IF(C32=Rates!$A$45,Rates!$B$28,Rates!$C$28)</f>
        <v>27.9873</v>
      </c>
      <c r="M32" s="102" t="s">
        <v>324</v>
      </c>
      <c r="N32" s="103" t="n">
        <f aca="false">K32*IF(C32=Rates!$A$45,Rates!$B$29,Rates!$C$29)</f>
        <v>59.367</v>
      </c>
      <c r="O32" s="104" t="n">
        <f aca="false">K32*Rates!$B$30</f>
        <v>61911.3</v>
      </c>
      <c r="P32" s="101" t="s">
        <v>398</v>
      </c>
      <c r="Q32" s="102" t="s">
        <v>399</v>
      </c>
      <c r="R32" s="101" t="s">
        <v>400</v>
      </c>
      <c r="S32" s="102" t="str">
        <f aca="false">C32&amp;" | "&amp;H32</f>
        <v>Google Cloud | a3-ultragpu-8g</v>
      </c>
      <c r="T32" s="95" t="n">
        <f aca="false">IF(Calculator!$D$16=Rates!$C$46,L32,IF(Calculator!$D$16=Rates!$C$47,N32,K32))</f>
        <v>84.81</v>
      </c>
      <c r="U32" s="96" t="n">
        <f aca="false">IF(OR(Calculator!$B$13=Rates!$A$47,Calculator!$B$13=C32),1,0)</f>
        <v>1</v>
      </c>
      <c r="V32" s="96" t="n">
        <f aca="false">IF(G32&gt;=Calculator!$B$10,1,0)</f>
        <v>1</v>
      </c>
      <c r="W32" s="97" t="n">
        <f aca="false">IF(AND(U32=1,V32=1),AD32,1000000000)</f>
        <v>84.810001</v>
      </c>
      <c r="X32" s="97" t="n">
        <f aca="false">IF(AND(C32=Rates!$A$45,V32=1),AD32,1000000000)</f>
        <v>84.810001</v>
      </c>
      <c r="Y32" s="97" t="n">
        <f aca="false">IF(AND(C32=Rates!$A$46,V32=1),AD32,1000000000)</f>
        <v>1000000000</v>
      </c>
      <c r="Z32" s="98" t="n">
        <v>4800</v>
      </c>
      <c r="AA32" s="99" t="n">
        <f aca="false">Z32*F32</f>
        <v>38400</v>
      </c>
      <c r="AB32" s="99" t="n">
        <f aca="false">IFERROR(AA32/Calculator!$B$129*Rates!$B$108*Rates!$B$109,0)</f>
        <v>6144</v>
      </c>
      <c r="AC32" s="99" t="n">
        <f aca="false">IF(Inference!$B$16&lt;=0,1,IF(AB32&lt;=0,1000000000,MAX(1,ROUNDUP(Inference!$B$16/AB32,0))))</f>
        <v>1</v>
      </c>
      <c r="AD32" s="97" t="n">
        <f aca="false">T32*AC32+AC32/1000000</f>
        <v>84.810001</v>
      </c>
    </row>
    <row r="33" customFormat="false" ht="23.25" hidden="false" customHeight="true" outlineLevel="0" collapsed="false">
      <c r="A33" s="90" t="n">
        <v>7</v>
      </c>
      <c r="B33" s="91" t="s">
        <v>395</v>
      </c>
      <c r="C33" s="92" t="s">
        <v>259</v>
      </c>
      <c r="D33" s="92" t="s">
        <v>396</v>
      </c>
      <c r="E33" s="90" t="n">
        <v>141</v>
      </c>
      <c r="F33" s="90" t="n">
        <v>8</v>
      </c>
      <c r="G33" s="90" t="n">
        <f aca="false">E33*F33</f>
        <v>1128</v>
      </c>
      <c r="H33" s="92" t="s">
        <v>401</v>
      </c>
      <c r="I33" s="90" t="n">
        <v>96</v>
      </c>
      <c r="J33" s="90" t="n">
        <v>1850</v>
      </c>
      <c r="K33" s="93" t="n">
        <v>110.24</v>
      </c>
      <c r="L33" s="93" t="n">
        <v>110.24</v>
      </c>
      <c r="M33" s="92" t="s">
        <v>402</v>
      </c>
      <c r="N33" s="93" t="n">
        <f aca="false">K33*IF(C33=Rates!$A$45,Rates!$B$29,Rates!$C$29)</f>
        <v>71.656</v>
      </c>
      <c r="O33" s="94" t="n">
        <f aca="false">K33*Rates!$B$30</f>
        <v>80475.2</v>
      </c>
      <c r="P33" s="91" t="s">
        <v>398</v>
      </c>
      <c r="Q33" s="92" t="s">
        <v>321</v>
      </c>
      <c r="R33" s="91" t="s">
        <v>403</v>
      </c>
      <c r="S33" s="92" t="str">
        <f aca="false">C33&amp;" | "&amp;H33</f>
        <v>Microsoft Azure | Standard_ND96isr_H200_v5</v>
      </c>
      <c r="T33" s="95" t="n">
        <f aca="false">IF(Calculator!$D$16=Rates!$C$46,L33,IF(Calculator!$D$16=Rates!$C$47,N33,K33))</f>
        <v>110.24</v>
      </c>
      <c r="U33" s="96" t="n">
        <f aca="false">IF(OR(Calculator!$B$13=Rates!$A$47,Calculator!$B$13=C33),1,0)</f>
        <v>1</v>
      </c>
      <c r="V33" s="96" t="n">
        <f aca="false">IF(G33&gt;=Calculator!$B$10,1,0)</f>
        <v>1</v>
      </c>
      <c r="W33" s="97" t="n">
        <f aca="false">IF(AND(U33=1,V33=1),AD33,1000000000)</f>
        <v>110.240001</v>
      </c>
      <c r="X33" s="97" t="n">
        <f aca="false">IF(AND(C33=Rates!$A$45,V33=1),AD33,1000000000)</f>
        <v>1000000000</v>
      </c>
      <c r="Y33" s="97" t="n">
        <f aca="false">IF(AND(C33=Rates!$A$46,V33=1),AD33,1000000000)</f>
        <v>110.240001</v>
      </c>
      <c r="Z33" s="98" t="n">
        <v>4800</v>
      </c>
      <c r="AA33" s="99" t="n">
        <f aca="false">Z33*F33</f>
        <v>38400</v>
      </c>
      <c r="AB33" s="99" t="n">
        <f aca="false">IFERROR(AA33/Calculator!$B$129*Rates!$B$108*Rates!$B$109,0)</f>
        <v>6144</v>
      </c>
      <c r="AC33" s="99" t="n">
        <f aca="false">IF(Inference!$B$16&lt;=0,1,IF(AB33&lt;=0,1000000000,MAX(1,ROUNDUP(Inference!$B$16/AB33,0))))</f>
        <v>1</v>
      </c>
      <c r="AD33" s="97" t="n">
        <f aca="false">T33*AC33+AC33/1000000</f>
        <v>110.240001</v>
      </c>
    </row>
    <row r="34" customFormat="false" ht="23.25" hidden="false" customHeight="true" outlineLevel="0" collapsed="false">
      <c r="A34" s="100" t="n">
        <v>8</v>
      </c>
      <c r="B34" s="101" t="s">
        <v>404</v>
      </c>
      <c r="C34" s="102" t="s">
        <v>259</v>
      </c>
      <c r="D34" s="102" t="s">
        <v>405</v>
      </c>
      <c r="E34" s="100" t="n">
        <v>192</v>
      </c>
      <c r="F34" s="100" t="n">
        <v>8</v>
      </c>
      <c r="G34" s="100" t="n">
        <f aca="false">E34*F34</f>
        <v>1536</v>
      </c>
      <c r="H34" s="102" t="s">
        <v>406</v>
      </c>
      <c r="I34" s="100" t="n">
        <v>96</v>
      </c>
      <c r="J34" s="100" t="n">
        <v>1850</v>
      </c>
      <c r="K34" s="103" t="n">
        <v>62.88</v>
      </c>
      <c r="L34" s="103" t="n">
        <f aca="false">K34*IF(C34=Rates!$A$45,Rates!$B$28,Rates!$C$28)</f>
        <v>11.9472</v>
      </c>
      <c r="M34" s="102" t="s">
        <v>324</v>
      </c>
      <c r="N34" s="103" t="n">
        <f aca="false">K34*IF(C34=Rates!$A$45,Rates!$B$29,Rates!$C$29)</f>
        <v>40.872</v>
      </c>
      <c r="O34" s="104" t="n">
        <f aca="false">K34*Rates!$B$30</f>
        <v>45902.4</v>
      </c>
      <c r="P34" s="101" t="s">
        <v>407</v>
      </c>
      <c r="Q34" s="102" t="s">
        <v>408</v>
      </c>
      <c r="R34" s="101" t="s">
        <v>409</v>
      </c>
      <c r="S34" s="102" t="str">
        <f aca="false">C34&amp;" | "&amp;H34</f>
        <v>Microsoft Azure | Standard_ND96isr_MI300X_v5</v>
      </c>
      <c r="T34" s="95" t="n">
        <f aca="false">IF(Calculator!$D$16=Rates!$C$46,L34,IF(Calculator!$D$16=Rates!$C$47,N34,K34))</f>
        <v>62.88</v>
      </c>
      <c r="U34" s="96" t="n">
        <f aca="false">IF(OR(Calculator!$B$13=Rates!$A$47,Calculator!$B$13=C34),1,0)</f>
        <v>1</v>
      </c>
      <c r="V34" s="96" t="n">
        <f aca="false">IF(G34&gt;=Calculator!$B$10,1,0)</f>
        <v>1</v>
      </c>
      <c r="W34" s="97" t="n">
        <f aca="false">IF(AND(U34=1,V34=1),AD34,1000000000)</f>
        <v>62.880001</v>
      </c>
      <c r="X34" s="97" t="n">
        <f aca="false">IF(AND(C34=Rates!$A$45,V34=1),AD34,1000000000)</f>
        <v>1000000000</v>
      </c>
      <c r="Y34" s="97" t="n">
        <f aca="false">IF(AND(C34=Rates!$A$46,V34=1),AD34,1000000000)</f>
        <v>62.880001</v>
      </c>
      <c r="Z34" s="98" t="n">
        <v>5300</v>
      </c>
      <c r="AA34" s="99" t="n">
        <f aca="false">Z34*F34</f>
        <v>42400</v>
      </c>
      <c r="AB34" s="99" t="n">
        <f aca="false">IFERROR(AA34/Calculator!$B$129*Rates!$B$108*Rates!$B$109,0)</f>
        <v>6784</v>
      </c>
      <c r="AC34" s="99" t="n">
        <f aca="false">IF(Inference!$B$16&lt;=0,1,IF(AB34&lt;=0,1000000000,MAX(1,ROUNDUP(Inference!$B$16/AB34,0))))</f>
        <v>1</v>
      </c>
      <c r="AD34" s="97" t="n">
        <f aca="false">T34*AC34+AC34/1000000</f>
        <v>62.880001</v>
      </c>
    </row>
    <row r="35" customFormat="false" ht="23.25" hidden="false" customHeight="true" outlineLevel="0" collapsed="false">
      <c r="A35" s="90" t="n">
        <v>9</v>
      </c>
      <c r="B35" s="91" t="s">
        <v>410</v>
      </c>
      <c r="C35" s="92" t="s">
        <v>258</v>
      </c>
      <c r="D35" s="92" t="s">
        <v>411</v>
      </c>
      <c r="E35" s="90" t="n">
        <v>180</v>
      </c>
      <c r="F35" s="90" t="n">
        <v>8</v>
      </c>
      <c r="G35" s="90" t="n">
        <f aca="false">E35*F35</f>
        <v>1440</v>
      </c>
      <c r="H35" s="92" t="s">
        <v>412</v>
      </c>
      <c r="I35" s="90" t="n">
        <v>224</v>
      </c>
      <c r="J35" s="90" t="n">
        <v>3968</v>
      </c>
      <c r="K35" s="105" t="n">
        <v>39.6336</v>
      </c>
      <c r="L35" s="105" t="n">
        <v>39.6336</v>
      </c>
      <c r="M35" s="92" t="s">
        <v>413</v>
      </c>
      <c r="N35" s="93" t="n">
        <f aca="false">K35*IF(C35=Rates!$A$45,Rates!$B$29,Rates!$C$29)</f>
        <v>27.74352</v>
      </c>
      <c r="O35" s="94" t="n">
        <f aca="false">K35*Rates!$B$30</f>
        <v>28932.528</v>
      </c>
      <c r="P35" s="91" t="s">
        <v>414</v>
      </c>
      <c r="Q35" s="92" t="s">
        <v>415</v>
      </c>
      <c r="R35" s="91" t="s">
        <v>416</v>
      </c>
      <c r="S35" s="92" t="str">
        <f aca="false">C35&amp;" | "&amp;H35</f>
        <v>Google Cloud | a4-highgpu-8g</v>
      </c>
      <c r="T35" s="95" t="n">
        <f aca="false">IF(Calculator!$D$16=Rates!$C$46,L35,IF(Calculator!$D$16=Rates!$C$47,N35,K35))</f>
        <v>39.6336</v>
      </c>
      <c r="U35" s="96" t="n">
        <f aca="false">IF(OR(Calculator!$B$13=Rates!$A$47,Calculator!$B$13=C35),1,0)</f>
        <v>1</v>
      </c>
      <c r="V35" s="96" t="n">
        <f aca="false">IF(G35&gt;=Calculator!$B$10,1,0)</f>
        <v>1</v>
      </c>
      <c r="W35" s="97" t="n">
        <f aca="false">IF(AND(U35=1,V35=1),AD35,1000000000)</f>
        <v>39.633601</v>
      </c>
      <c r="X35" s="97" t="n">
        <f aca="false">IF(AND(C35=Rates!$A$45,V35=1),AD35,1000000000)</f>
        <v>39.633601</v>
      </c>
      <c r="Y35" s="97" t="n">
        <f aca="false">IF(AND(C35=Rates!$A$46,V35=1),AD35,1000000000)</f>
        <v>1000000000</v>
      </c>
      <c r="Z35" s="98" t="n">
        <v>8000</v>
      </c>
      <c r="AA35" s="99" t="n">
        <f aca="false">Z35*F35</f>
        <v>64000</v>
      </c>
      <c r="AB35" s="99" t="n">
        <f aca="false">IFERROR(AA35/Calculator!$B$129*Rates!$B$108*Rates!$B$109,0)</f>
        <v>10240</v>
      </c>
      <c r="AC35" s="99" t="n">
        <f aca="false">IF(Inference!$B$16&lt;=0,1,IF(AB35&lt;=0,1000000000,MAX(1,ROUNDUP(Inference!$B$16/AB35,0))))</f>
        <v>1</v>
      </c>
      <c r="AD35" s="97" t="n">
        <f aca="false">T35*AC35+AC35/1000000</f>
        <v>39.633601</v>
      </c>
    </row>
    <row r="37" customFormat="false" ht="15" hidden="false" customHeight="true" outlineLevel="0" collapsed="false">
      <c r="A37" s="47" t="s">
        <v>417</v>
      </c>
    </row>
    <row r="38" customFormat="false" ht="15" hidden="false" customHeight="true" outlineLevel="0" collapsed="false">
      <c r="A38" s="47" t="s">
        <v>418</v>
      </c>
    </row>
    <row r="39" customFormat="false" ht="15" hidden="false" customHeight="true" outlineLevel="0" collapsed="false">
      <c r="A39" s="47" t="s">
        <v>419</v>
      </c>
    </row>
    <row r="40" customFormat="false" ht="15" hidden="false" customHeight="true" outlineLevel="0" collapsed="false">
      <c r="A40" s="47" t="s">
        <v>420</v>
      </c>
    </row>
    <row r="41" customFormat="false" ht="15" hidden="false" customHeight="true" outlineLevel="0" collapsed="false">
      <c r="A41" s="47" t="s">
        <v>421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28"/>
    <col collapsed="false" customWidth="true" hidden="false" outlineLevel="0" max="5" min="3" style="1" width="20"/>
    <col collapsed="false" customWidth="true" hidden="false" outlineLevel="0" max="6" min="6" style="1" width="42"/>
  </cols>
  <sheetData>
    <row r="1" customFormat="false" ht="17.25" hidden="false" customHeight="true" outlineLevel="0" collapsed="false">
      <c r="A1" s="77" t="s">
        <v>422</v>
      </c>
    </row>
    <row r="2" customFormat="false" ht="15" hidden="false" customHeight="true" outlineLevel="0" collapsed="false">
      <c r="A2" s="47" t="s">
        <v>423</v>
      </c>
    </row>
    <row r="4" customFormat="false" ht="31.5" hidden="false" customHeight="true" outlineLevel="0" collapsed="false">
      <c r="A4" s="78" t="s">
        <v>59</v>
      </c>
      <c r="B4" s="78" t="s">
        <v>424</v>
      </c>
      <c r="C4" s="78" t="s">
        <v>425</v>
      </c>
      <c r="D4" s="78" t="s">
        <v>426</v>
      </c>
      <c r="E4" s="78" t="s">
        <v>427</v>
      </c>
      <c r="F4" s="78" t="s">
        <v>428</v>
      </c>
    </row>
    <row r="5" customFormat="false" ht="15" hidden="false" customHeight="true" outlineLevel="0" collapsed="false">
      <c r="A5" s="106" t="n">
        <v>1</v>
      </c>
      <c r="B5" s="107" t="s">
        <v>429</v>
      </c>
      <c r="C5" s="106" t="n">
        <f aca="false">ROUNDUP($A5*2*(1+Calculator!$B$8),0)</f>
        <v>3</v>
      </c>
      <c r="D5" s="106" t="n">
        <f aca="false">ROUNDUP($A5*1*(1+Calculator!$B$8),0)</f>
        <v>2</v>
      </c>
      <c r="E5" s="106" t="n">
        <f aca="false">ROUNDUP($A5*0.5*(1+Calculator!$B$8),0)</f>
        <v>1</v>
      </c>
      <c r="F5" s="107" t="str">
        <f aca="false">IF($C5&lt;=16,"1x T4 (16 GB) - tier 1",IF($C5&lt;=24,"1x L4 or A10 (24 GB) - tier 2",IF($C5&lt;=40,"1x A100 40GB - tier 3",IF($C5&lt;=80,"1x A100 80GB - tier 4",IF($C5&lt;=94,"1x H100 NVL 94GB - tier 5",IF($C5&lt;=192,"8x L4 node (192 GB), or 2x H100 NVL if under 188 GB",IF($C5&lt;=320,"4x A100 80GB (320 GB) - tier 4",IF($C5&lt;=640,"8x A100 80GB or 8x H100 node (640 GB)",IF($C5&lt;=1128,"8x H200 node (1,128 GB) - tier 7",IF($C5&lt;=1440,"8x B200 node (1,440 GB) - tier 9",IF($C5&lt;=1536,"8x MI300X node (1,536 GB) - tier 8","More than one machine needed")))))))))))</f>
        <v>1x T4 (16 GB) - tier 1</v>
      </c>
    </row>
    <row r="6" customFormat="false" ht="15" hidden="false" customHeight="true" outlineLevel="0" collapsed="false">
      <c r="A6" s="108" t="n">
        <v>3</v>
      </c>
      <c r="B6" s="29" t="s">
        <v>430</v>
      </c>
      <c r="C6" s="108" t="n">
        <f aca="false">ROUNDUP($A6*2*(1+Calculator!$B$8),0)</f>
        <v>8</v>
      </c>
      <c r="D6" s="108" t="n">
        <f aca="false">ROUNDUP($A6*1*(1+Calculator!$B$8),0)</f>
        <v>4</v>
      </c>
      <c r="E6" s="108" t="n">
        <f aca="false">ROUNDUP($A6*0.5*(1+Calculator!$B$8),0)</f>
        <v>2</v>
      </c>
      <c r="F6" s="29" t="str">
        <f aca="false">IF($C6&lt;=16,"1x T4 (16 GB) - tier 1",IF($C6&lt;=24,"1x L4 or A10 (24 GB) - tier 2",IF($C6&lt;=40,"1x A100 40GB - tier 3",IF($C6&lt;=80,"1x A100 80GB - tier 4",IF($C6&lt;=94,"1x H100 NVL 94GB - tier 5",IF($C6&lt;=192,"8x L4 node (192 GB), or 2x H100 NVL if under 188 GB",IF($C6&lt;=320,"4x A100 80GB (320 GB) - tier 4",IF($C6&lt;=640,"8x A100 80GB or 8x H100 node (640 GB)",IF($C6&lt;=1128,"8x H200 node (1,128 GB) - tier 7",IF($C6&lt;=1440,"8x B200 node (1,440 GB) - tier 9",IF($C6&lt;=1536,"8x MI300X node (1,536 GB) - tier 8","More than one machine needed")))))))))))</f>
        <v>1x T4 (16 GB) - tier 1</v>
      </c>
    </row>
    <row r="7" customFormat="false" ht="15" hidden="false" customHeight="true" outlineLevel="0" collapsed="false">
      <c r="A7" s="106" t="n">
        <v>7</v>
      </c>
      <c r="B7" s="107" t="s">
        <v>431</v>
      </c>
      <c r="C7" s="106" t="n">
        <f aca="false">ROUNDUP($A7*2*(1+Calculator!$B$8),0)</f>
        <v>19</v>
      </c>
      <c r="D7" s="106" t="n">
        <f aca="false">ROUNDUP($A7*1*(1+Calculator!$B$8),0)</f>
        <v>10</v>
      </c>
      <c r="E7" s="106" t="n">
        <f aca="false">ROUNDUP($A7*0.5*(1+Calculator!$B$8),0)</f>
        <v>5</v>
      </c>
      <c r="F7" s="107" t="str">
        <f aca="false">IF($C7&lt;=16,"1x T4 (16 GB) - tier 1",IF($C7&lt;=24,"1x L4 or A10 (24 GB) - tier 2",IF($C7&lt;=40,"1x A100 40GB - tier 3",IF($C7&lt;=80,"1x A100 80GB - tier 4",IF($C7&lt;=94,"1x H100 NVL 94GB - tier 5",IF($C7&lt;=192,"8x L4 node (192 GB), or 2x H100 NVL if under 188 GB",IF($C7&lt;=320,"4x A100 80GB (320 GB) - tier 4",IF($C7&lt;=640,"8x A100 80GB or 8x H100 node (640 GB)",IF($C7&lt;=1128,"8x H200 node (1,128 GB) - tier 7",IF($C7&lt;=1440,"8x B200 node (1,440 GB) - tier 9",IF($C7&lt;=1536,"8x MI300X node (1,536 GB) - tier 8","More than one machine needed")))))))))))</f>
        <v>1x L4 or A10 (24 GB) - tier 2</v>
      </c>
    </row>
    <row r="8" customFormat="false" ht="15" hidden="false" customHeight="true" outlineLevel="0" collapsed="false">
      <c r="A8" s="108" t="n">
        <v>8</v>
      </c>
      <c r="B8" s="29" t="s">
        <v>432</v>
      </c>
      <c r="C8" s="108" t="n">
        <f aca="false">ROUNDUP($A8*2*(1+Calculator!$B$8),0)</f>
        <v>21</v>
      </c>
      <c r="D8" s="108" t="n">
        <f aca="false">ROUNDUP($A8*1*(1+Calculator!$B$8),0)</f>
        <v>11</v>
      </c>
      <c r="E8" s="108" t="n">
        <f aca="false">ROUNDUP($A8*0.5*(1+Calculator!$B$8),0)</f>
        <v>6</v>
      </c>
      <c r="F8" s="29" t="str">
        <f aca="false">IF($C8&lt;=16,"1x T4 (16 GB) - tier 1",IF($C8&lt;=24,"1x L4 or A10 (24 GB) - tier 2",IF($C8&lt;=40,"1x A100 40GB - tier 3",IF($C8&lt;=80,"1x A100 80GB - tier 4",IF($C8&lt;=94,"1x H100 NVL 94GB - tier 5",IF($C8&lt;=192,"8x L4 node (192 GB), or 2x H100 NVL if under 188 GB",IF($C8&lt;=320,"4x A100 80GB (320 GB) - tier 4",IF($C8&lt;=640,"8x A100 80GB or 8x H100 node (640 GB)",IF($C8&lt;=1128,"8x H200 node (1,128 GB) - tier 7",IF($C8&lt;=1440,"8x B200 node (1,440 GB) - tier 9",IF($C8&lt;=1536,"8x MI300X node (1,536 GB) - tier 8","More than one machine needed")))))))))))</f>
        <v>1x L4 or A10 (24 GB) - tier 2</v>
      </c>
    </row>
    <row r="9" customFormat="false" ht="15" hidden="false" customHeight="true" outlineLevel="0" collapsed="false">
      <c r="A9" s="106" t="n">
        <v>13</v>
      </c>
      <c r="B9" s="107" t="s">
        <v>433</v>
      </c>
      <c r="C9" s="106" t="n">
        <f aca="false">ROUNDUP($A9*2*(1+Calculator!$B$8),0)</f>
        <v>34</v>
      </c>
      <c r="D9" s="106" t="n">
        <f aca="false">ROUNDUP($A9*1*(1+Calculator!$B$8),0)</f>
        <v>17</v>
      </c>
      <c r="E9" s="106" t="n">
        <f aca="false">ROUNDUP($A9*0.5*(1+Calculator!$B$8),0)</f>
        <v>9</v>
      </c>
      <c r="F9" s="107" t="str">
        <f aca="false">IF($C9&lt;=16,"1x T4 (16 GB) - tier 1",IF($C9&lt;=24,"1x L4 or A10 (24 GB) - tier 2",IF($C9&lt;=40,"1x A100 40GB - tier 3",IF($C9&lt;=80,"1x A100 80GB - tier 4",IF($C9&lt;=94,"1x H100 NVL 94GB - tier 5",IF($C9&lt;=192,"8x L4 node (192 GB), or 2x H100 NVL if under 188 GB",IF($C9&lt;=320,"4x A100 80GB (320 GB) - tier 4",IF($C9&lt;=640,"8x A100 80GB or 8x H100 node (640 GB)",IF($C9&lt;=1128,"8x H200 node (1,128 GB) - tier 7",IF($C9&lt;=1440,"8x B200 node (1,440 GB) - tier 9",IF($C9&lt;=1536,"8x MI300X node (1,536 GB) - tier 8","More than one machine needed")))))))))))</f>
        <v>1x A100 40GB - tier 3</v>
      </c>
    </row>
    <row r="10" customFormat="false" ht="15" hidden="false" customHeight="true" outlineLevel="0" collapsed="false">
      <c r="A10" s="108" t="n">
        <v>32</v>
      </c>
      <c r="B10" s="29" t="s">
        <v>434</v>
      </c>
      <c r="C10" s="108" t="n">
        <f aca="false">ROUNDUP($A10*2*(1+Calculator!$B$8),0)</f>
        <v>84</v>
      </c>
      <c r="D10" s="108" t="n">
        <f aca="false">ROUNDUP($A10*1*(1+Calculator!$B$8),0)</f>
        <v>42</v>
      </c>
      <c r="E10" s="108" t="n">
        <f aca="false">ROUNDUP($A10*0.5*(1+Calculator!$B$8),0)</f>
        <v>21</v>
      </c>
      <c r="F10" s="29" t="str">
        <f aca="false">IF($C10&lt;=16,"1x T4 (16 GB) - tier 1",IF($C10&lt;=24,"1x L4 or A10 (24 GB) - tier 2",IF($C10&lt;=40,"1x A100 40GB - tier 3",IF($C10&lt;=80,"1x A100 80GB - tier 4",IF($C10&lt;=94,"1x H100 NVL 94GB - tier 5",IF($C10&lt;=192,"8x L4 node (192 GB), or 2x H100 NVL if under 188 GB",IF($C10&lt;=320,"4x A100 80GB (320 GB) - tier 4",IF($C10&lt;=640,"8x A100 80GB or 8x H100 node (640 GB)",IF($C10&lt;=1128,"8x H200 node (1,128 GB) - tier 7",IF($C10&lt;=1440,"8x B200 node (1,440 GB) - tier 9",IF($C10&lt;=1536,"8x MI300X node (1,536 GB) - tier 8","More than one machine needed")))))))))))</f>
        <v>1x H100 NVL 94GB - tier 5</v>
      </c>
    </row>
    <row r="11" customFormat="false" ht="15" hidden="false" customHeight="true" outlineLevel="0" collapsed="false">
      <c r="A11" s="106" t="n">
        <v>124</v>
      </c>
      <c r="B11" s="107" t="s">
        <v>435</v>
      </c>
      <c r="C11" s="106" t="n">
        <f aca="false">ROUNDUP($A11*2*(1+Calculator!$B$8),0)</f>
        <v>323</v>
      </c>
      <c r="D11" s="106" t="n">
        <f aca="false">ROUNDUP($A11*1*(1+Calculator!$B$8),0)</f>
        <v>162</v>
      </c>
      <c r="E11" s="106" t="n">
        <f aca="false">ROUNDUP($A11*0.5*(1+Calculator!$B$8),0)</f>
        <v>81</v>
      </c>
      <c r="F11" s="107" t="str">
        <f aca="false">IF($C11&lt;=16,"1x T4 (16 GB) - tier 1",IF($C11&lt;=24,"1x L4 or A10 (24 GB) - tier 2",IF($C11&lt;=40,"1x A100 40GB - tier 3",IF($C11&lt;=80,"1x A100 80GB - tier 4",IF($C11&lt;=94,"1x H100 NVL 94GB - tier 5",IF($C11&lt;=192,"8x L4 node (192 GB), or 2x H100 NVL if under 188 GB",IF($C11&lt;=320,"4x A100 80GB (320 GB) - tier 4",IF($C11&lt;=640,"8x A100 80GB or 8x H100 node (640 GB)",IF($C11&lt;=1128,"8x H200 node (1,128 GB) - tier 7",IF($C11&lt;=1440,"8x B200 node (1,440 GB) - tier 9",IF($C11&lt;=1536,"8x MI300X node (1,536 GB) - tier 8","More than one machine needed")))))))))))</f>
        <v>8x A100 80GB or 8x H100 node (640 GB)</v>
      </c>
    </row>
    <row r="12" customFormat="false" ht="15" hidden="false" customHeight="true" outlineLevel="0" collapsed="false">
      <c r="A12" s="108" t="n">
        <v>123</v>
      </c>
      <c r="B12" s="29" t="s">
        <v>436</v>
      </c>
      <c r="C12" s="108" t="n">
        <f aca="false">ROUNDUP($A12*2*(1+Calculator!$B$8),0)</f>
        <v>320</v>
      </c>
      <c r="D12" s="108" t="n">
        <f aca="false">ROUNDUP($A12*1*(1+Calculator!$B$8),0)</f>
        <v>160</v>
      </c>
      <c r="E12" s="108" t="n">
        <f aca="false">ROUNDUP($A12*0.5*(1+Calculator!$B$8),0)</f>
        <v>80</v>
      </c>
      <c r="F12" s="29" t="str">
        <f aca="false">IF($C12&lt;=16,"1x T4 (16 GB) - tier 1",IF($C12&lt;=24,"1x L4 or A10 (24 GB) - tier 2",IF($C12&lt;=40,"1x A100 40GB - tier 3",IF($C12&lt;=80,"1x A100 80GB - tier 4",IF($C12&lt;=94,"1x H100 NVL 94GB - tier 5",IF($C12&lt;=192,"8x L4 node (192 GB), or 2x H100 NVL if under 188 GB",IF($C12&lt;=320,"4x A100 80GB (320 GB) - tier 4",IF($C12&lt;=640,"8x A100 80GB or 8x H100 node (640 GB)",IF($C12&lt;=1128,"8x H200 node (1,128 GB) - tier 7",IF($C12&lt;=1440,"8x B200 node (1,440 GB) - tier 9",IF($C12&lt;=1536,"8x MI300X node (1,536 GB) - tier 8","More than one machine needed")))))))))))</f>
        <v>4x A100 80GB (320 GB) - tier 4</v>
      </c>
    </row>
    <row r="13" customFormat="false" ht="15" hidden="false" customHeight="true" outlineLevel="0" collapsed="false">
      <c r="A13" s="106" t="n">
        <v>405</v>
      </c>
      <c r="B13" s="107" t="s">
        <v>437</v>
      </c>
      <c r="C13" s="106" t="n">
        <f aca="false">ROUNDUP($A13*2*(1+Calculator!$B$8),0)</f>
        <v>1053</v>
      </c>
      <c r="D13" s="106" t="n">
        <f aca="false">ROUNDUP($A13*1*(1+Calculator!$B$8),0)</f>
        <v>527</v>
      </c>
      <c r="E13" s="106" t="n">
        <f aca="false">ROUNDUP($A13*0.5*(1+Calculator!$B$8),0)</f>
        <v>264</v>
      </c>
      <c r="F13" s="107" t="str">
        <f aca="false">IF($C13&lt;=16,"1x T4 (16 GB) - tier 1",IF($C13&lt;=24,"1x L4 or A10 (24 GB) - tier 2",IF($C13&lt;=40,"1x A100 40GB - tier 3",IF($C13&lt;=80,"1x A100 80GB - tier 4",IF($C13&lt;=94,"1x H100 NVL 94GB - tier 5",IF($C13&lt;=192,"8x L4 node (192 GB), or 2x H100 NVL if under 188 GB",IF($C13&lt;=320,"4x A100 80GB (320 GB) - tier 4",IF($C13&lt;=640,"8x A100 80GB or 8x H100 node (640 GB)",IF($C13&lt;=1128,"8x H200 node (1,128 GB) - tier 7",IF($C13&lt;=1440,"8x B200 node (1,440 GB) - tier 9",IF($C13&lt;=1536,"8x MI300X node (1,536 GB) - tier 8","More than one machine needed")))))))))))</f>
        <v>8x H200 node (1,128 GB) - tier 7</v>
      </c>
    </row>
    <row r="14" customFormat="false" ht="15" hidden="false" customHeight="true" outlineLevel="0" collapsed="false">
      <c r="A14" s="108" t="n">
        <v>671</v>
      </c>
      <c r="B14" s="29" t="s">
        <v>438</v>
      </c>
      <c r="C14" s="108" t="n">
        <f aca="false">ROUNDUP($A14*2*(1+Calculator!$B$8),0)</f>
        <v>1745</v>
      </c>
      <c r="D14" s="108" t="n">
        <f aca="false">ROUNDUP($A14*1*(1+Calculator!$B$8),0)</f>
        <v>873</v>
      </c>
      <c r="E14" s="108" t="n">
        <f aca="false">ROUNDUP($A14*0.5*(1+Calculator!$B$8),0)</f>
        <v>437</v>
      </c>
      <c r="F14" s="29" t="str">
        <f aca="false">IF($C14&lt;=16,"1x T4 (16 GB) - tier 1",IF($C14&lt;=24,"1x L4 or A10 (24 GB) - tier 2",IF($C14&lt;=40,"1x A100 40GB - tier 3",IF($C14&lt;=80,"1x A100 80GB - tier 4",IF($C14&lt;=94,"1x H100 NVL 94GB - tier 5",IF($C14&lt;=192,"8x L4 node (192 GB), or 2x H100 NVL if under 188 GB",IF($C14&lt;=320,"4x A100 80GB (320 GB) - tier 4",IF($C14&lt;=640,"8x A100 80GB or 8x H100 node (640 GB)",IF($C14&lt;=1128,"8x H200 node (1,128 GB) - tier 7",IF($C14&lt;=1440,"8x B200 node (1,440 GB) - tier 9",IF($C14&lt;=1536,"8x MI300X node (1,536 GB) - tier 8","More than one machine needed")))))))))))</f>
        <v>More than one machine needed</v>
      </c>
    </row>
    <row r="17" customFormat="false" ht="15" hidden="false" customHeight="true" outlineLevel="0" collapsed="false">
      <c r="A17" s="18" t="s">
        <v>439</v>
      </c>
    </row>
    <row r="18" customFormat="false" ht="15" hidden="false" customHeight="true" outlineLevel="0" collapsed="false">
      <c r="A18" s="10" t="s">
        <v>440</v>
      </c>
    </row>
    <row r="19" customFormat="false" ht="15" hidden="false" customHeight="true" outlineLevel="0" collapsed="false">
      <c r="A19" s="10" t="s">
        <v>441</v>
      </c>
    </row>
    <row r="20" customFormat="false" ht="15" hidden="false" customHeight="true" outlineLevel="0" collapsed="false">
      <c r="A20" s="10" t="s">
        <v>442</v>
      </c>
    </row>
    <row r="21" customFormat="false" ht="15" hidden="false" customHeight="true" outlineLevel="0" collapsed="false">
      <c r="A21" s="10" t="s">
        <v>443</v>
      </c>
    </row>
    <row r="22" customFormat="false" ht="15" hidden="false" customHeight="true" outlineLevel="0" collapsed="false">
      <c r="A22" s="10" t="s">
        <v>444</v>
      </c>
    </row>
    <row r="23" customFormat="false" ht="15" hidden="false" customHeight="true" outlineLevel="0" collapsed="false">
      <c r="A23" s="10" t="s">
        <v>445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3" min="2" style="1" width="24"/>
    <col collapsed="false" customWidth="true" hidden="false" outlineLevel="0" max="4" min="4" style="1" width="62"/>
    <col collapsed="false" customWidth="true" hidden="false" outlineLevel="0" max="9" min="5" style="1" width="34"/>
  </cols>
  <sheetData>
    <row r="1" customFormat="false" ht="17.25" hidden="false" customHeight="true" outlineLevel="0" collapsed="false">
      <c r="A1" s="77" t="s">
        <v>446</v>
      </c>
    </row>
    <row r="2" customFormat="false" ht="15" hidden="false" customHeight="true" outlineLevel="0" collapsed="false">
      <c r="A2" s="47" t="s">
        <v>447</v>
      </c>
    </row>
    <row r="4" customFormat="false" ht="15" hidden="false" customHeight="true" outlineLevel="0" collapsed="false">
      <c r="A4" s="26" t="s">
        <v>448</v>
      </c>
      <c r="B4" s="26"/>
      <c r="C4" s="26"/>
      <c r="D4" s="26"/>
    </row>
    <row r="5" customFormat="false" ht="15" hidden="false" customHeight="true" outlineLevel="0" collapsed="false">
      <c r="A5" s="78" t="s">
        <v>449</v>
      </c>
      <c r="B5" s="78" t="s">
        <v>450</v>
      </c>
      <c r="C5" s="78" t="s">
        <v>451</v>
      </c>
      <c r="D5" s="78" t="s">
        <v>452</v>
      </c>
    </row>
    <row r="6" customFormat="false" ht="15" hidden="false" customHeight="true" outlineLevel="0" collapsed="false">
      <c r="A6" s="109" t="s">
        <v>453</v>
      </c>
      <c r="B6" s="110" t="n">
        <v>0.04</v>
      </c>
      <c r="C6" s="110" t="n">
        <v>0.046</v>
      </c>
      <c r="D6" s="109" t="s">
        <v>454</v>
      </c>
    </row>
    <row r="7" customFormat="false" ht="15" hidden="false" customHeight="true" outlineLevel="0" collapsed="false">
      <c r="A7" s="109" t="s">
        <v>455</v>
      </c>
      <c r="B7" s="110" t="n">
        <v>0.1</v>
      </c>
      <c r="C7" s="110" t="n">
        <v>0.048</v>
      </c>
      <c r="D7" s="109" t="s">
        <v>456</v>
      </c>
    </row>
    <row r="8" customFormat="false" ht="15" hidden="false" customHeight="true" outlineLevel="0" collapsed="false">
      <c r="A8" s="109" t="s">
        <v>132</v>
      </c>
      <c r="B8" s="110" t="n">
        <v>0.1</v>
      </c>
      <c r="C8" s="110" t="n">
        <v>0.081</v>
      </c>
      <c r="D8" s="109" t="s">
        <v>457</v>
      </c>
    </row>
    <row r="9" customFormat="false" ht="15" hidden="false" customHeight="true" outlineLevel="0" collapsed="false">
      <c r="A9" s="109" t="s">
        <v>458</v>
      </c>
      <c r="B9" s="110" t="n">
        <v>0.17</v>
      </c>
      <c r="C9" s="110" t="n">
        <v>0.132</v>
      </c>
      <c r="D9" s="109" t="s">
        <v>459</v>
      </c>
    </row>
    <row r="11" customFormat="false" ht="15" hidden="false" customHeight="true" outlineLevel="0" collapsed="false">
      <c r="A11" s="26" t="s">
        <v>460</v>
      </c>
      <c r="B11" s="26"/>
      <c r="C11" s="26"/>
      <c r="D11" s="26"/>
    </row>
    <row r="12" customFormat="false" ht="23.25" hidden="false" customHeight="true" outlineLevel="0" collapsed="false">
      <c r="A12" s="78" t="s">
        <v>461</v>
      </c>
      <c r="B12" s="78" t="s">
        <v>462</v>
      </c>
      <c r="C12" s="78" t="s">
        <v>259</v>
      </c>
      <c r="D12" s="78" t="s">
        <v>463</v>
      </c>
    </row>
    <row r="13" customFormat="false" ht="15" hidden="false" customHeight="true" outlineLevel="0" collapsed="false">
      <c r="A13" s="109" t="s">
        <v>464</v>
      </c>
      <c r="B13" s="111" t="n">
        <v>1</v>
      </c>
      <c r="C13" s="111" t="n">
        <v>100</v>
      </c>
      <c r="D13" s="109" t="s">
        <v>465</v>
      </c>
    </row>
    <row r="14" customFormat="false" ht="15" hidden="false" customHeight="true" outlineLevel="0" collapsed="false">
      <c r="A14" s="109" t="s">
        <v>466</v>
      </c>
      <c r="B14" s="110" t="n">
        <v>0.12</v>
      </c>
      <c r="C14" s="110" t="n">
        <v>0.087</v>
      </c>
      <c r="D14" s="109" t="s">
        <v>467</v>
      </c>
    </row>
    <row r="15" customFormat="false" ht="15" hidden="false" customHeight="true" outlineLevel="0" collapsed="false">
      <c r="A15" s="109" t="s">
        <v>468</v>
      </c>
      <c r="B15" s="110" t="n">
        <v>0.11</v>
      </c>
      <c r="C15" s="110" t="n">
        <v>0.087</v>
      </c>
      <c r="D15" s="109" t="s">
        <v>469</v>
      </c>
    </row>
    <row r="16" customFormat="false" ht="15" hidden="false" customHeight="true" outlineLevel="0" collapsed="false">
      <c r="A16" s="109" t="s">
        <v>470</v>
      </c>
      <c r="B16" s="110" t="n">
        <v>0.08</v>
      </c>
      <c r="C16" s="110" t="n">
        <v>0.087</v>
      </c>
      <c r="D16" s="109" t="s">
        <v>471</v>
      </c>
    </row>
    <row r="17" customFormat="false" ht="15" hidden="false" customHeight="true" outlineLevel="0" collapsed="false">
      <c r="A17" s="10" t="s">
        <v>472</v>
      </c>
    </row>
    <row r="19" customFormat="false" ht="15" hidden="false" customHeight="true" outlineLevel="0" collapsed="false">
      <c r="A19" s="26" t="s">
        <v>473</v>
      </c>
      <c r="B19" s="26"/>
      <c r="C19" s="26"/>
      <c r="D19" s="26"/>
    </row>
    <row r="20" customFormat="false" ht="15" hidden="false" customHeight="true" outlineLevel="0" collapsed="false">
      <c r="A20" s="78" t="s">
        <v>116</v>
      </c>
      <c r="B20" s="78" t="s">
        <v>258</v>
      </c>
      <c r="C20" s="78" t="s">
        <v>259</v>
      </c>
      <c r="D20" s="78" t="s">
        <v>463</v>
      </c>
    </row>
    <row r="21" customFormat="false" ht="15" hidden="false" customHeight="true" outlineLevel="0" collapsed="false">
      <c r="A21" s="109" t="s">
        <v>117</v>
      </c>
      <c r="B21" s="112" t="n">
        <v>1</v>
      </c>
      <c r="C21" s="112" t="n">
        <v>1</v>
      </c>
      <c r="D21" s="109" t="s">
        <v>474</v>
      </c>
    </row>
    <row r="22" customFormat="false" ht="15" hidden="false" customHeight="true" outlineLevel="0" collapsed="false">
      <c r="A22" s="109" t="s">
        <v>475</v>
      </c>
      <c r="B22" s="112" t="n">
        <v>1.1</v>
      </c>
      <c r="C22" s="112" t="n">
        <v>1.19</v>
      </c>
      <c r="D22" s="109" t="s">
        <v>476</v>
      </c>
    </row>
    <row r="23" customFormat="false" ht="15" hidden="false" customHeight="true" outlineLevel="0" collapsed="false">
      <c r="A23" s="109" t="s">
        <v>477</v>
      </c>
      <c r="B23" s="112" t="n">
        <v>1.15</v>
      </c>
      <c r="C23" s="112" t="n">
        <v>1.3</v>
      </c>
      <c r="D23" s="109" t="s">
        <v>478</v>
      </c>
    </row>
    <row r="24" customFormat="false" ht="15" hidden="false" customHeight="true" outlineLevel="0" collapsed="false">
      <c r="A24" s="109" t="s">
        <v>479</v>
      </c>
      <c r="B24" s="112" t="n">
        <v>1.15</v>
      </c>
      <c r="C24" s="112" t="n">
        <v>1.33</v>
      </c>
      <c r="D24" s="109" t="s">
        <v>480</v>
      </c>
    </row>
    <row r="26" customFormat="false" ht="15" hidden="false" customHeight="true" outlineLevel="0" collapsed="false">
      <c r="A26" s="26" t="s">
        <v>481</v>
      </c>
      <c r="B26" s="26"/>
      <c r="C26" s="26"/>
      <c r="D26" s="26"/>
    </row>
    <row r="27" customFormat="false" ht="15" hidden="false" customHeight="true" outlineLevel="0" collapsed="false">
      <c r="A27" s="78" t="s">
        <v>482</v>
      </c>
      <c r="B27" s="78" t="s">
        <v>258</v>
      </c>
      <c r="C27" s="78" t="s">
        <v>259</v>
      </c>
      <c r="D27" s="78" t="s">
        <v>463</v>
      </c>
    </row>
    <row r="28" customFormat="false" ht="15" hidden="false" customHeight="true" outlineLevel="0" collapsed="false">
      <c r="A28" s="109" t="s">
        <v>483</v>
      </c>
      <c r="B28" s="113" t="n">
        <v>0.33</v>
      </c>
      <c r="C28" s="113" t="n">
        <v>0.19</v>
      </c>
      <c r="D28" s="109" t="s">
        <v>484</v>
      </c>
    </row>
    <row r="29" customFormat="false" ht="15" hidden="false" customHeight="true" outlineLevel="0" collapsed="false">
      <c r="A29" s="109" t="s">
        <v>485</v>
      </c>
      <c r="B29" s="113" t="n">
        <v>0.7</v>
      </c>
      <c r="C29" s="113" t="n">
        <v>0.65</v>
      </c>
      <c r="D29" s="109" t="s">
        <v>486</v>
      </c>
    </row>
    <row r="30" customFormat="false" ht="15" hidden="false" customHeight="true" outlineLevel="0" collapsed="false">
      <c r="A30" s="109" t="s">
        <v>487</v>
      </c>
      <c r="B30" s="111" t="n">
        <v>730</v>
      </c>
      <c r="D30" s="109" t="s">
        <v>488</v>
      </c>
    </row>
    <row r="32" customFormat="false" ht="15" hidden="false" customHeight="true" outlineLevel="0" collapsed="false">
      <c r="A32" s="26" t="s">
        <v>489</v>
      </c>
      <c r="B32" s="26"/>
      <c r="C32" s="26"/>
      <c r="D32" s="26"/>
    </row>
    <row r="33" customFormat="false" ht="15" hidden="false" customHeight="true" outlineLevel="0" collapsed="false">
      <c r="A33" s="78" t="s">
        <v>8</v>
      </c>
      <c r="B33" s="78" t="s">
        <v>490</v>
      </c>
      <c r="C33" s="78"/>
      <c r="D33" s="78" t="s">
        <v>463</v>
      </c>
    </row>
    <row r="34" customFormat="false" ht="15" hidden="false" customHeight="true" outlineLevel="0" collapsed="false">
      <c r="A34" s="109" t="s">
        <v>258</v>
      </c>
      <c r="B34" s="114" t="n">
        <v>0.26</v>
      </c>
      <c r="D34" s="109" t="s">
        <v>491</v>
      </c>
    </row>
    <row r="35" customFormat="false" ht="15" hidden="false" customHeight="true" outlineLevel="0" collapsed="false">
      <c r="A35" s="109" t="s">
        <v>259</v>
      </c>
      <c r="B35" s="114" t="n">
        <v>0.25</v>
      </c>
      <c r="D35" s="109" t="s">
        <v>492</v>
      </c>
    </row>
    <row r="37" customFormat="false" ht="15" hidden="false" customHeight="true" outlineLevel="0" collapsed="false">
      <c r="A37" s="26" t="s">
        <v>493</v>
      </c>
      <c r="B37" s="26"/>
      <c r="C37" s="26"/>
      <c r="D37" s="26"/>
    </row>
    <row r="38" customFormat="false" ht="15" hidden="false" customHeight="true" outlineLevel="0" collapsed="false">
      <c r="A38" s="78" t="s">
        <v>494</v>
      </c>
      <c r="B38" s="78" t="s">
        <v>495</v>
      </c>
      <c r="C38" s="78"/>
      <c r="D38" s="78" t="s">
        <v>463</v>
      </c>
    </row>
    <row r="39" customFormat="false" ht="15" hidden="false" customHeight="true" outlineLevel="0" collapsed="false">
      <c r="A39" s="109" t="s">
        <v>496</v>
      </c>
      <c r="B39" s="115" t="n">
        <v>2</v>
      </c>
      <c r="D39" s="109" t="s">
        <v>497</v>
      </c>
    </row>
    <row r="40" customFormat="false" ht="15" hidden="false" customHeight="true" outlineLevel="0" collapsed="false">
      <c r="A40" s="109" t="s">
        <v>498</v>
      </c>
      <c r="B40" s="115" t="n">
        <v>1</v>
      </c>
      <c r="D40" s="109" t="s">
        <v>499</v>
      </c>
    </row>
    <row r="41" customFormat="false" ht="15" hidden="false" customHeight="true" outlineLevel="0" collapsed="false">
      <c r="A41" s="109" t="s">
        <v>500</v>
      </c>
      <c r="B41" s="115" t="n">
        <v>0.5</v>
      </c>
      <c r="D41" s="109" t="s">
        <v>501</v>
      </c>
    </row>
    <row r="43" customFormat="false" ht="15" hidden="false" customHeight="true" outlineLevel="0" collapsed="false">
      <c r="A43" s="26" t="s">
        <v>502</v>
      </c>
      <c r="B43" s="26"/>
      <c r="C43" s="26"/>
      <c r="D43" s="26"/>
      <c r="E43" s="26"/>
      <c r="F43" s="26"/>
      <c r="G43" s="26"/>
      <c r="H43" s="26"/>
    </row>
    <row r="44" customFormat="false" ht="15" hidden="false" customHeight="true" outlineLevel="0" collapsed="false">
      <c r="A44" s="78" t="s">
        <v>8</v>
      </c>
      <c r="B44" s="78" t="s">
        <v>116</v>
      </c>
      <c r="C44" s="78" t="s">
        <v>69</v>
      </c>
      <c r="D44" s="78" t="s">
        <v>449</v>
      </c>
      <c r="E44" s="78" t="s">
        <v>494</v>
      </c>
      <c r="F44" s="78" t="s">
        <v>503</v>
      </c>
      <c r="G44" s="78" t="s">
        <v>504</v>
      </c>
      <c r="H44" s="78" t="s">
        <v>505</v>
      </c>
      <c r="I44" s="78" t="s">
        <v>506</v>
      </c>
    </row>
    <row r="45" customFormat="false" ht="15" hidden="false" customHeight="true" outlineLevel="0" collapsed="false">
      <c r="A45" s="116" t="s">
        <v>258</v>
      </c>
      <c r="B45" s="116" t="s">
        <v>117</v>
      </c>
      <c r="C45" s="116" t="s">
        <v>507</v>
      </c>
      <c r="D45" s="116" t="s">
        <v>453</v>
      </c>
      <c r="E45" s="116" t="s">
        <v>496</v>
      </c>
      <c r="F45" s="116" t="s">
        <v>508</v>
      </c>
      <c r="G45" s="116" t="s">
        <v>120</v>
      </c>
      <c r="H45" s="116" t="s">
        <v>143</v>
      </c>
      <c r="I45" s="109" t="s">
        <v>212</v>
      </c>
    </row>
    <row r="46" customFormat="false" ht="15" hidden="false" customHeight="true" outlineLevel="0" collapsed="false">
      <c r="A46" s="116" t="s">
        <v>259</v>
      </c>
      <c r="B46" s="116" t="s">
        <v>475</v>
      </c>
      <c r="C46" s="116" t="s">
        <v>509</v>
      </c>
      <c r="D46" s="116" t="s">
        <v>455</v>
      </c>
      <c r="E46" s="116" t="s">
        <v>498</v>
      </c>
      <c r="F46" s="116" t="s">
        <v>510</v>
      </c>
      <c r="G46" s="116" t="s">
        <v>511</v>
      </c>
      <c r="H46" s="116" t="s">
        <v>512</v>
      </c>
      <c r="I46" s="109" t="s">
        <v>513</v>
      </c>
    </row>
    <row r="47" customFormat="false" ht="15" hidden="false" customHeight="true" outlineLevel="0" collapsed="false">
      <c r="A47" s="116" t="s">
        <v>114</v>
      </c>
      <c r="B47" s="116" t="s">
        <v>477</v>
      </c>
      <c r="C47" s="116" t="s">
        <v>514</v>
      </c>
      <c r="D47" s="116" t="s">
        <v>132</v>
      </c>
      <c r="E47" s="116" t="s">
        <v>500</v>
      </c>
      <c r="G47" s="116" t="s">
        <v>515</v>
      </c>
      <c r="H47" s="116" t="s">
        <v>516</v>
      </c>
    </row>
    <row r="48" customFormat="false" ht="15" hidden="false" customHeight="true" outlineLevel="0" collapsed="false">
      <c r="B48" s="116" t="s">
        <v>479</v>
      </c>
      <c r="D48" s="116" t="s">
        <v>458</v>
      </c>
      <c r="G48" s="116" t="s">
        <v>517</v>
      </c>
      <c r="H48" s="116" t="s">
        <v>518</v>
      </c>
    </row>
    <row r="49" customFormat="false" ht="15" hidden="false" customHeight="true" outlineLevel="0" collapsed="false">
      <c r="G49" s="116" t="s">
        <v>519</v>
      </c>
    </row>
    <row r="50" customFormat="false" ht="15" hidden="false" customHeight="true" outlineLevel="0" collapsed="false">
      <c r="G50" s="116" t="s">
        <v>520</v>
      </c>
    </row>
    <row r="51" customFormat="false" ht="15" hidden="false" customHeight="true" outlineLevel="0" collapsed="false">
      <c r="G51" s="116" t="s">
        <v>521</v>
      </c>
    </row>
    <row r="52" customFormat="false" ht="15" hidden="false" customHeight="true" outlineLevel="0" collapsed="false">
      <c r="G52" s="116" t="s">
        <v>522</v>
      </c>
    </row>
    <row r="53" customFormat="false" ht="15" hidden="false" customHeight="true" outlineLevel="0" collapsed="false">
      <c r="G53" s="116" t="s">
        <v>523</v>
      </c>
    </row>
    <row r="54" customFormat="false" ht="15" hidden="false" customHeight="true" outlineLevel="0" collapsed="false">
      <c r="G54" s="116" t="s">
        <v>524</v>
      </c>
    </row>
    <row r="55" customFormat="false" ht="15" hidden="false" customHeight="true" outlineLevel="0" collapsed="false">
      <c r="G55" s="116" t="s">
        <v>525</v>
      </c>
    </row>
    <row r="56" customFormat="false" ht="15" hidden="false" customHeight="true" outlineLevel="0" collapsed="false">
      <c r="G56" s="116" t="s">
        <v>526</v>
      </c>
    </row>
    <row r="57" customFormat="false" ht="15" hidden="false" customHeight="true" outlineLevel="0" collapsed="false">
      <c r="G57" s="116" t="s">
        <v>527</v>
      </c>
    </row>
    <row r="58" customFormat="false" ht="15" hidden="false" customHeight="true" outlineLevel="0" collapsed="false">
      <c r="G58" s="116" t="s">
        <v>528</v>
      </c>
    </row>
    <row r="59" customFormat="false" ht="15" hidden="false" customHeight="true" outlineLevel="0" collapsed="false">
      <c r="G59" s="116" t="s">
        <v>529</v>
      </c>
    </row>
    <row r="60" customFormat="false" ht="15" hidden="false" customHeight="true" outlineLevel="0" collapsed="false">
      <c r="G60" s="116" t="s">
        <v>530</v>
      </c>
    </row>
    <row r="61" customFormat="false" ht="15" hidden="false" customHeight="true" outlineLevel="0" collapsed="false">
      <c r="G61" s="116" t="s">
        <v>531</v>
      </c>
    </row>
    <row r="62" customFormat="false" ht="15" hidden="false" customHeight="true" outlineLevel="0" collapsed="false">
      <c r="G62" s="116" t="s">
        <v>532</v>
      </c>
    </row>
    <row r="63" customFormat="false" ht="15" hidden="false" customHeight="true" outlineLevel="0" collapsed="false">
      <c r="G63" s="116" t="s">
        <v>533</v>
      </c>
    </row>
    <row r="64" customFormat="false" ht="15" hidden="false" customHeight="true" outlineLevel="0" collapsed="false">
      <c r="G64" s="116" t="s">
        <v>534</v>
      </c>
    </row>
    <row r="65" customFormat="false" ht="15" hidden="false" customHeight="true" outlineLevel="0" collapsed="false">
      <c r="G65" s="116" t="s">
        <v>535</v>
      </c>
    </row>
    <row r="66" customFormat="false" ht="15" hidden="false" customHeight="true" outlineLevel="0" collapsed="false">
      <c r="G66" s="116" t="s">
        <v>536</v>
      </c>
    </row>
    <row r="67" customFormat="false" ht="15" hidden="false" customHeight="true" outlineLevel="0" collapsed="false">
      <c r="G67" s="116" t="s">
        <v>537</v>
      </c>
    </row>
    <row r="68" customFormat="false" ht="15" hidden="false" customHeight="true" outlineLevel="0" collapsed="false">
      <c r="G68" s="116" t="s">
        <v>538</v>
      </c>
    </row>
    <row r="69" customFormat="false" ht="15" hidden="false" customHeight="true" outlineLevel="0" collapsed="false">
      <c r="G69" s="116" t="s">
        <v>539</v>
      </c>
    </row>
    <row r="70" customFormat="false" ht="15" hidden="false" customHeight="true" outlineLevel="0" collapsed="false">
      <c r="G70" s="116" t="s">
        <v>540</v>
      </c>
    </row>
    <row r="71" customFormat="false" ht="15" hidden="false" customHeight="true" outlineLevel="0" collapsed="false">
      <c r="G71" s="116" t="s">
        <v>541</v>
      </c>
    </row>
    <row r="72" customFormat="false" ht="15" hidden="false" customHeight="true" outlineLevel="0" collapsed="false">
      <c r="G72" s="116" t="s">
        <v>542</v>
      </c>
    </row>
    <row r="73" customFormat="false" ht="15" hidden="false" customHeight="true" outlineLevel="0" collapsed="false">
      <c r="G73" s="116" t="s">
        <v>543</v>
      </c>
    </row>
    <row r="74" customFormat="false" ht="15" hidden="false" customHeight="true" outlineLevel="0" collapsed="false">
      <c r="G74" s="116" t="s">
        <v>544</v>
      </c>
    </row>
    <row r="75" customFormat="false" ht="15" hidden="false" customHeight="true" outlineLevel="0" collapsed="false">
      <c r="G75" s="116" t="s">
        <v>545</v>
      </c>
    </row>
    <row r="76" customFormat="false" ht="15" hidden="false" customHeight="true" outlineLevel="0" collapsed="false">
      <c r="G76" s="116" t="s">
        <v>546</v>
      </c>
    </row>
    <row r="78" customFormat="false" ht="15" hidden="false" customHeight="true" outlineLevel="0" collapsed="false">
      <c r="A78" s="26" t="s">
        <v>547</v>
      </c>
      <c r="B78" s="26"/>
      <c r="C78" s="26"/>
      <c r="D78" s="26"/>
    </row>
    <row r="79" customFormat="false" ht="15" hidden="false" customHeight="true" outlineLevel="0" collapsed="false">
      <c r="A79" s="78" t="s">
        <v>505</v>
      </c>
      <c r="B79" s="78" t="s">
        <v>145</v>
      </c>
      <c r="C79" s="78" t="s">
        <v>548</v>
      </c>
      <c r="D79" s="78" t="s">
        <v>549</v>
      </c>
    </row>
    <row r="80" customFormat="false" ht="25.5" hidden="false" customHeight="true" outlineLevel="0" collapsed="false">
      <c r="A80" s="109" t="s">
        <v>512</v>
      </c>
      <c r="B80" s="111" t="n">
        <v>20</v>
      </c>
      <c r="C80" s="109" t="s">
        <v>550</v>
      </c>
      <c r="D80" s="117" t="s">
        <v>551</v>
      </c>
    </row>
    <row r="81" customFormat="false" ht="25.5" hidden="false" customHeight="true" outlineLevel="0" collapsed="false">
      <c r="A81" s="109" t="s">
        <v>516</v>
      </c>
      <c r="B81" s="111" t="n">
        <v>60</v>
      </c>
      <c r="C81" s="109" t="s">
        <v>552</v>
      </c>
      <c r="D81" s="117" t="s">
        <v>553</v>
      </c>
    </row>
    <row r="82" customFormat="false" ht="25.5" hidden="false" customHeight="true" outlineLevel="0" collapsed="false">
      <c r="A82" s="109" t="s">
        <v>518</v>
      </c>
      <c r="B82" s="111" t="n">
        <v>160</v>
      </c>
      <c r="C82" s="109" t="s">
        <v>554</v>
      </c>
      <c r="D82" s="117" t="s">
        <v>555</v>
      </c>
    </row>
    <row r="83" customFormat="false" ht="15" hidden="false" customHeight="true" outlineLevel="0" collapsed="false">
      <c r="A83" s="109" t="s">
        <v>149</v>
      </c>
      <c r="B83" s="118" t="n">
        <f aca="false">Calculator!$B$33</f>
        <v>116</v>
      </c>
      <c r="D83" s="109" t="s">
        <v>556</v>
      </c>
    </row>
    <row r="84" customFormat="false" ht="15" hidden="false" customHeight="true" outlineLevel="0" collapsed="false">
      <c r="A84" s="109" t="s">
        <v>557</v>
      </c>
      <c r="B84" s="111" t="n">
        <v>13</v>
      </c>
      <c r="D84" s="109" t="s">
        <v>558</v>
      </c>
    </row>
    <row r="85" customFormat="false" ht="15" hidden="false" customHeight="true" outlineLevel="0" collapsed="false">
      <c r="A85" s="109" t="s">
        <v>559</v>
      </c>
      <c r="B85" s="111" t="n">
        <v>70</v>
      </c>
      <c r="D85" s="109" t="s">
        <v>560</v>
      </c>
    </row>
    <row r="87" customFormat="false" ht="15" hidden="false" customHeight="true" outlineLevel="0" collapsed="false">
      <c r="A87" s="26" t="s">
        <v>561</v>
      </c>
      <c r="B87" s="26"/>
      <c r="C87" s="26"/>
      <c r="D87" s="26"/>
      <c r="E87" s="26"/>
    </row>
    <row r="88" customFormat="false" ht="15" hidden="false" customHeight="true" outlineLevel="0" collapsed="false">
      <c r="A88" s="78" t="s">
        <v>562</v>
      </c>
      <c r="B88" s="78" t="s">
        <v>563</v>
      </c>
      <c r="C88" s="78" t="s">
        <v>564</v>
      </c>
      <c r="D88" s="78" t="s">
        <v>463</v>
      </c>
    </row>
    <row r="89" customFormat="false" ht="15" hidden="false" customHeight="true" outlineLevel="0" collapsed="false">
      <c r="A89" s="109" t="s">
        <v>565</v>
      </c>
      <c r="B89" s="111" t="n">
        <v>8</v>
      </c>
      <c r="C89" s="111" t="n">
        <v>200</v>
      </c>
      <c r="D89" s="109" t="s">
        <v>566</v>
      </c>
    </row>
    <row r="90" customFormat="false" ht="15" hidden="false" customHeight="true" outlineLevel="0" collapsed="false">
      <c r="A90" s="109" t="s">
        <v>567</v>
      </c>
      <c r="B90" s="111" t="n">
        <v>32</v>
      </c>
      <c r="C90" s="111" t="n">
        <v>300</v>
      </c>
      <c r="D90" s="109" t="s">
        <v>568</v>
      </c>
    </row>
    <row r="91" customFormat="false" ht="15" hidden="false" customHeight="true" outlineLevel="0" collapsed="false">
      <c r="A91" s="109" t="s">
        <v>47</v>
      </c>
      <c r="B91" s="111" t="n">
        <v>70</v>
      </c>
      <c r="C91" s="111" t="n">
        <v>500</v>
      </c>
      <c r="D91" s="109" t="s">
        <v>569</v>
      </c>
    </row>
    <row r="92" customFormat="false" ht="15" hidden="false" customHeight="true" outlineLevel="0" collapsed="false">
      <c r="A92" s="109" t="s">
        <v>570</v>
      </c>
      <c r="B92" s="111" t="n">
        <v>405</v>
      </c>
      <c r="C92" s="111" t="n">
        <v>2000</v>
      </c>
      <c r="D92" s="109" t="s">
        <v>571</v>
      </c>
    </row>
    <row r="94" customFormat="false" ht="15" hidden="false" customHeight="true" outlineLevel="0" collapsed="false">
      <c r="A94" s="78" t="s">
        <v>572</v>
      </c>
      <c r="B94" s="78" t="s">
        <v>573</v>
      </c>
      <c r="C94" s="78" t="s">
        <v>574</v>
      </c>
      <c r="D94" s="78" t="s">
        <v>265</v>
      </c>
      <c r="E94" s="78" t="s">
        <v>575</v>
      </c>
    </row>
    <row r="95" customFormat="false" ht="15" hidden="false" customHeight="true" outlineLevel="0" collapsed="false">
      <c r="A95" s="109" t="s">
        <v>576</v>
      </c>
      <c r="B95" s="111" t="n">
        <v>8</v>
      </c>
      <c r="C95" s="119" t="n">
        <v>22</v>
      </c>
      <c r="D95" s="111" t="n">
        <v>1</v>
      </c>
      <c r="E95" s="111" t="n">
        <v>100</v>
      </c>
    </row>
    <row r="96" customFormat="false" ht="15" hidden="false" customHeight="true" outlineLevel="0" collapsed="false">
      <c r="A96" s="109" t="s">
        <v>577</v>
      </c>
      <c r="B96" s="111" t="n">
        <v>10</v>
      </c>
      <c r="C96" s="119" t="n">
        <v>22</v>
      </c>
      <c r="D96" s="111" t="n">
        <v>1</v>
      </c>
      <c r="E96" s="111" t="n">
        <v>500</v>
      </c>
    </row>
    <row r="97" customFormat="false" ht="15" hidden="false" customHeight="true" outlineLevel="0" collapsed="false">
      <c r="A97" s="109" t="s">
        <v>50</v>
      </c>
      <c r="B97" s="111" t="n">
        <v>24</v>
      </c>
      <c r="C97" s="119" t="n">
        <v>30.42</v>
      </c>
      <c r="D97" s="111" t="n">
        <v>1</v>
      </c>
      <c r="E97" s="111" t="n">
        <v>2000</v>
      </c>
    </row>
    <row r="98" customFormat="false" ht="15" hidden="false" customHeight="true" outlineLevel="0" collapsed="false">
      <c r="A98" s="109" t="s">
        <v>578</v>
      </c>
      <c r="B98" s="111" t="n">
        <v>24</v>
      </c>
      <c r="C98" s="119" t="n">
        <v>30.42</v>
      </c>
      <c r="D98" s="111" t="n">
        <v>2</v>
      </c>
      <c r="E98" s="111" t="n">
        <v>10000</v>
      </c>
    </row>
    <row r="100" customFormat="false" ht="15" hidden="false" customHeight="true" outlineLevel="0" collapsed="false">
      <c r="A100" s="78" t="s">
        <v>579</v>
      </c>
      <c r="B100" s="78" t="s">
        <v>494</v>
      </c>
      <c r="C100" s="78" t="s">
        <v>69</v>
      </c>
      <c r="D100" s="78" t="s">
        <v>20</v>
      </c>
      <c r="E100" s="78" t="s">
        <v>463</v>
      </c>
    </row>
    <row r="101" customFormat="false" ht="25.5" hidden="false" customHeight="true" outlineLevel="0" collapsed="false">
      <c r="A101" s="6" t="s">
        <v>580</v>
      </c>
      <c r="B101" s="120" t="s">
        <v>500</v>
      </c>
      <c r="C101" s="120" t="s">
        <v>509</v>
      </c>
      <c r="D101" s="120" t="s">
        <v>508</v>
      </c>
      <c r="E101" s="121" t="s">
        <v>581</v>
      </c>
    </row>
    <row r="102" customFormat="false" ht="25.5" hidden="false" customHeight="true" outlineLevel="0" collapsed="false">
      <c r="A102" s="6" t="s">
        <v>53</v>
      </c>
      <c r="B102" s="120" t="s">
        <v>498</v>
      </c>
      <c r="C102" s="120" t="s">
        <v>507</v>
      </c>
      <c r="D102" s="120" t="s">
        <v>508</v>
      </c>
      <c r="E102" s="121" t="s">
        <v>582</v>
      </c>
    </row>
    <row r="103" customFormat="false" ht="25.5" hidden="false" customHeight="true" outlineLevel="0" collapsed="false">
      <c r="A103" s="6" t="s">
        <v>583</v>
      </c>
      <c r="B103" s="120" t="s">
        <v>496</v>
      </c>
      <c r="C103" s="120" t="s">
        <v>514</v>
      </c>
      <c r="D103" s="120" t="s">
        <v>510</v>
      </c>
      <c r="E103" s="121" t="s">
        <v>584</v>
      </c>
    </row>
    <row r="106" customFormat="false" ht="15" hidden="false" customHeight="true" outlineLevel="0" collapsed="false">
      <c r="A106" s="26" t="s">
        <v>585</v>
      </c>
      <c r="B106" s="26"/>
      <c r="C106" s="26"/>
      <c r="D106" s="26"/>
    </row>
    <row r="107" customFormat="false" ht="15" hidden="false" customHeight="true" outlineLevel="0" collapsed="false">
      <c r="A107" s="78" t="s">
        <v>482</v>
      </c>
      <c r="B107" s="78" t="s">
        <v>586</v>
      </c>
      <c r="C107" s="78"/>
      <c r="D107" s="78" t="s">
        <v>463</v>
      </c>
    </row>
    <row r="108" customFormat="false" ht="30" hidden="false" customHeight="true" outlineLevel="0" collapsed="false">
      <c r="A108" s="109" t="s">
        <v>587</v>
      </c>
      <c r="B108" s="111" t="n">
        <v>16</v>
      </c>
      <c r="D108" s="117" t="s">
        <v>588</v>
      </c>
    </row>
    <row r="109" customFormat="false" ht="30" hidden="false" customHeight="true" outlineLevel="0" collapsed="false">
      <c r="A109" s="109" t="s">
        <v>589</v>
      </c>
      <c r="B109" s="114" t="n">
        <v>0.7</v>
      </c>
      <c r="D109" s="117" t="s">
        <v>590</v>
      </c>
    </row>
    <row r="110" customFormat="false" ht="30" hidden="false" customHeight="true" outlineLevel="0" collapsed="false">
      <c r="A110" s="109" t="s">
        <v>591</v>
      </c>
      <c r="B110" s="111" t="n">
        <v>10</v>
      </c>
      <c r="D110" s="117" t="s">
        <v>592</v>
      </c>
    </row>
    <row r="111" customFormat="false" ht="15" hidden="false" customHeight="true" outlineLevel="0" collapsed="false">
      <c r="A111" s="26" t="s">
        <v>593</v>
      </c>
      <c r="B111" s="26"/>
      <c r="C111" s="26"/>
      <c r="D111" s="26"/>
      <c r="E111" s="26"/>
      <c r="F111" s="26"/>
      <c r="G111" s="26"/>
      <c r="H111" s="26"/>
    </row>
    <row r="112" customFormat="false" ht="15" hidden="false" customHeight="true" outlineLevel="0" collapsed="false">
      <c r="A112" s="10" t="s">
        <v>594</v>
      </c>
    </row>
    <row r="113" customFormat="false" ht="34.5" hidden="false" customHeight="true" outlineLevel="0" collapsed="false">
      <c r="A113" s="78" t="s">
        <v>2</v>
      </c>
      <c r="B113" s="78" t="s">
        <v>89</v>
      </c>
      <c r="C113" s="78" t="s">
        <v>595</v>
      </c>
      <c r="D113" s="78" t="s">
        <v>596</v>
      </c>
      <c r="E113" s="78" t="s">
        <v>597</v>
      </c>
      <c r="F113" s="78" t="s">
        <v>598</v>
      </c>
      <c r="G113" s="78" t="s">
        <v>301</v>
      </c>
      <c r="H113" s="78" t="s">
        <v>302</v>
      </c>
      <c r="I113" s="78" t="s">
        <v>599</v>
      </c>
      <c r="J113" s="78" t="s">
        <v>309</v>
      </c>
      <c r="K113" s="78" t="s">
        <v>310</v>
      </c>
    </row>
    <row r="114" customFormat="false" ht="24" hidden="false" customHeight="true" outlineLevel="0" collapsed="false">
      <c r="A114" s="122" t="s">
        <v>600</v>
      </c>
      <c r="B114" s="122" t="s">
        <v>258</v>
      </c>
      <c r="C114" s="122" t="s">
        <v>601</v>
      </c>
      <c r="D114" s="123" t="n">
        <v>0.1</v>
      </c>
      <c r="E114" s="123" t="n">
        <v>0.4</v>
      </c>
      <c r="F114" s="122" t="s">
        <v>602</v>
      </c>
      <c r="G114" s="124" t="s">
        <v>603</v>
      </c>
      <c r="H114" s="124" t="s">
        <v>604</v>
      </c>
      <c r="I114" s="125" t="n">
        <f aca="false">Inference!$B$7*Inference!$B$8/1000000*$D$114+Inference!$B$7*Inference!$B$9/1000000*$E$114</f>
        <v>120</v>
      </c>
      <c r="J114" s="126" t="n">
        <f aca="false">IF($B$114=$A$45,$I$114,1000000000)</f>
        <v>120</v>
      </c>
      <c r="K114" s="126" t="n">
        <f aca="false">IF($B$114=$A$46,$I$114,1000000000)</f>
        <v>1000000000</v>
      </c>
    </row>
    <row r="115" customFormat="false" ht="24" hidden="false" customHeight="true" outlineLevel="0" collapsed="false">
      <c r="A115" s="122" t="s">
        <v>605</v>
      </c>
      <c r="B115" s="122" t="s">
        <v>258</v>
      </c>
      <c r="C115" s="122" t="s">
        <v>601</v>
      </c>
      <c r="D115" s="123" t="n">
        <v>0.25</v>
      </c>
      <c r="E115" s="123" t="n">
        <v>1.5</v>
      </c>
      <c r="F115" s="122" t="s">
        <v>602</v>
      </c>
      <c r="G115" s="124" t="s">
        <v>606</v>
      </c>
      <c r="H115" s="124" t="s">
        <v>321</v>
      </c>
      <c r="I115" s="125" t="n">
        <f aca="false">Inference!$B$7*Inference!$B$8/1000000*$D$115+Inference!$B$7*Inference!$B$9/1000000*$E$115</f>
        <v>400</v>
      </c>
      <c r="J115" s="126" t="n">
        <f aca="false">IF($B$115=$A$45,$I$115,1000000000)</f>
        <v>400</v>
      </c>
      <c r="K115" s="126" t="n">
        <f aca="false">IF($B$115=$A$46,$I$115,1000000000)</f>
        <v>1000000000</v>
      </c>
    </row>
    <row r="116" customFormat="false" ht="24" hidden="false" customHeight="true" outlineLevel="0" collapsed="false">
      <c r="A116" s="122" t="s">
        <v>176</v>
      </c>
      <c r="B116" s="122" t="s">
        <v>258</v>
      </c>
      <c r="C116" s="122" t="s">
        <v>601</v>
      </c>
      <c r="D116" s="123" t="n">
        <v>0.3</v>
      </c>
      <c r="E116" s="123" t="n">
        <v>2.5</v>
      </c>
      <c r="F116" s="122" t="s">
        <v>602</v>
      </c>
      <c r="G116" s="124" t="s">
        <v>607</v>
      </c>
      <c r="H116" s="124" t="s">
        <v>321</v>
      </c>
      <c r="I116" s="125" t="n">
        <f aca="false">Inference!$B$7*Inference!$B$8/1000000*$D$116+Inference!$B$7*Inference!$B$9/1000000*$E$116</f>
        <v>620</v>
      </c>
      <c r="J116" s="126" t="n">
        <f aca="false">IF($B$116=$A$45,$I$116,1000000000)</f>
        <v>620</v>
      </c>
      <c r="K116" s="126" t="n">
        <f aca="false">IF($B$116=$A$46,$I$116,1000000000)</f>
        <v>1000000000</v>
      </c>
    </row>
    <row r="117" customFormat="false" ht="24" hidden="false" customHeight="true" outlineLevel="0" collapsed="false">
      <c r="A117" s="122" t="s">
        <v>608</v>
      </c>
      <c r="B117" s="122" t="s">
        <v>258</v>
      </c>
      <c r="C117" s="122" t="s">
        <v>601</v>
      </c>
      <c r="D117" s="123" t="n">
        <v>0.5</v>
      </c>
      <c r="E117" s="123" t="n">
        <v>3</v>
      </c>
      <c r="F117" s="122" t="s">
        <v>602</v>
      </c>
      <c r="G117" s="124" t="s">
        <v>609</v>
      </c>
      <c r="H117" s="124" t="s">
        <v>321</v>
      </c>
      <c r="I117" s="125" t="n">
        <f aca="false">Inference!$B$7*Inference!$B$8/1000000*$D$117+Inference!$B$7*Inference!$B$9/1000000*$E$117</f>
        <v>800</v>
      </c>
      <c r="J117" s="126" t="n">
        <f aca="false">IF($B$117=$A$45,$I$117,1000000000)</f>
        <v>800</v>
      </c>
      <c r="K117" s="126" t="n">
        <f aca="false">IF($B$117=$A$46,$I$117,1000000000)</f>
        <v>1000000000</v>
      </c>
    </row>
    <row r="118" customFormat="false" ht="24" hidden="false" customHeight="true" outlineLevel="0" collapsed="false">
      <c r="A118" s="122" t="s">
        <v>610</v>
      </c>
      <c r="B118" s="122" t="s">
        <v>258</v>
      </c>
      <c r="C118" s="122" t="s">
        <v>601</v>
      </c>
      <c r="D118" s="123" t="n">
        <v>0.75</v>
      </c>
      <c r="E118" s="123" t="n">
        <v>3.75</v>
      </c>
      <c r="F118" s="122" t="s">
        <v>602</v>
      </c>
      <c r="G118" s="124" t="s">
        <v>611</v>
      </c>
      <c r="H118" s="124" t="s">
        <v>612</v>
      </c>
      <c r="I118" s="125" t="n">
        <f aca="false">Inference!$B$7*Inference!$B$8/1000000*$D$118+Inference!$B$7*Inference!$B$9/1000000*$E$118</f>
        <v>1050</v>
      </c>
      <c r="J118" s="126" t="n">
        <f aca="false">IF($B$118=$A$45,$I$118,1000000000)</f>
        <v>1050</v>
      </c>
      <c r="K118" s="126" t="n">
        <f aca="false">IF($B$118=$A$46,$I$118,1000000000)</f>
        <v>1000000000</v>
      </c>
    </row>
    <row r="119" customFormat="false" ht="24" hidden="false" customHeight="true" outlineLevel="0" collapsed="false">
      <c r="A119" s="122" t="s">
        <v>613</v>
      </c>
      <c r="B119" s="122" t="s">
        <v>258</v>
      </c>
      <c r="C119" s="122" t="s">
        <v>601</v>
      </c>
      <c r="D119" s="123" t="n">
        <v>0.75</v>
      </c>
      <c r="E119" s="123" t="n">
        <v>3.75</v>
      </c>
      <c r="F119" s="122" t="s">
        <v>602</v>
      </c>
      <c r="G119" s="124" t="s">
        <v>614</v>
      </c>
      <c r="H119" s="124" t="s">
        <v>612</v>
      </c>
      <c r="I119" s="125" t="n">
        <f aca="false">Inference!$B$7*Inference!$B$8/1000000*$D$119+Inference!$B$7*Inference!$B$9/1000000*$E$119</f>
        <v>1050</v>
      </c>
      <c r="J119" s="126" t="n">
        <f aca="false">IF($B$119=$A$45,$I$119,1000000000)</f>
        <v>1050</v>
      </c>
      <c r="K119" s="126" t="n">
        <f aca="false">IF($B$119=$A$46,$I$119,1000000000)</f>
        <v>1000000000</v>
      </c>
    </row>
    <row r="120" customFormat="false" ht="24" hidden="false" customHeight="true" outlineLevel="0" collapsed="false">
      <c r="A120" s="122" t="s">
        <v>615</v>
      </c>
      <c r="B120" s="122" t="s">
        <v>258</v>
      </c>
      <c r="C120" s="122" t="s">
        <v>616</v>
      </c>
      <c r="D120" s="123" t="n">
        <v>1</v>
      </c>
      <c r="E120" s="123" t="n">
        <v>5</v>
      </c>
      <c r="F120" s="122" t="s">
        <v>617</v>
      </c>
      <c r="G120" s="124" t="s">
        <v>618</v>
      </c>
      <c r="H120" s="124" t="s">
        <v>321</v>
      </c>
      <c r="I120" s="125" t="n">
        <f aca="false">Inference!$B$7*Inference!$B$8/1000000*$D$120+Inference!$B$7*Inference!$B$9/1000000*$E$120</f>
        <v>1400</v>
      </c>
      <c r="J120" s="126" t="n">
        <f aca="false">IF($B$120=$A$45,$I$120,1000000000)</f>
        <v>1400</v>
      </c>
      <c r="K120" s="126" t="n">
        <f aca="false">IF($B$120=$A$46,$I$120,1000000000)</f>
        <v>1000000000</v>
      </c>
    </row>
    <row r="121" customFormat="false" ht="24" hidden="false" customHeight="true" outlineLevel="0" collapsed="false">
      <c r="A121" s="122" t="s">
        <v>619</v>
      </c>
      <c r="B121" s="122" t="s">
        <v>258</v>
      </c>
      <c r="C121" s="122" t="s">
        <v>601</v>
      </c>
      <c r="D121" s="123" t="n">
        <v>1.5</v>
      </c>
      <c r="E121" s="123" t="n">
        <v>9</v>
      </c>
      <c r="F121" s="122" t="s">
        <v>602</v>
      </c>
      <c r="G121" s="124" t="s">
        <v>620</v>
      </c>
      <c r="H121" s="124" t="s">
        <v>321</v>
      </c>
      <c r="I121" s="125" t="n">
        <f aca="false">Inference!$B$7*Inference!$B$8/1000000*$D$121+Inference!$B$7*Inference!$B$9/1000000*$E$121</f>
        <v>2400</v>
      </c>
      <c r="J121" s="126" t="n">
        <f aca="false">IF($B$121=$A$45,$I$121,1000000000)</f>
        <v>2400</v>
      </c>
      <c r="K121" s="126" t="n">
        <f aca="false">IF($B$121=$A$46,$I$121,1000000000)</f>
        <v>1000000000</v>
      </c>
    </row>
    <row r="122" customFormat="false" ht="24" hidden="false" customHeight="true" outlineLevel="0" collapsed="false">
      <c r="A122" s="122" t="s">
        <v>621</v>
      </c>
      <c r="B122" s="122" t="s">
        <v>258</v>
      </c>
      <c r="C122" s="122" t="s">
        <v>616</v>
      </c>
      <c r="D122" s="123" t="n">
        <v>2</v>
      </c>
      <c r="E122" s="123" t="n">
        <v>10</v>
      </c>
      <c r="F122" s="122" t="s">
        <v>602</v>
      </c>
      <c r="G122" s="124" t="s">
        <v>622</v>
      </c>
      <c r="H122" s="124" t="s">
        <v>321</v>
      </c>
      <c r="I122" s="125" t="n">
        <f aca="false">Inference!$B$7*Inference!$B$8/1000000*$D$122+Inference!$B$7*Inference!$B$9/1000000*$E$122</f>
        <v>2800</v>
      </c>
      <c r="J122" s="126" t="n">
        <f aca="false">IF($B$122=$A$45,$I$122,1000000000)</f>
        <v>2800</v>
      </c>
      <c r="K122" s="126" t="n">
        <f aca="false">IF($B$122=$A$46,$I$122,1000000000)</f>
        <v>1000000000</v>
      </c>
    </row>
    <row r="123" customFormat="false" ht="24" hidden="false" customHeight="true" outlineLevel="0" collapsed="false">
      <c r="A123" s="122" t="s">
        <v>623</v>
      </c>
      <c r="B123" s="122" t="s">
        <v>258</v>
      </c>
      <c r="C123" s="122" t="s">
        <v>601</v>
      </c>
      <c r="D123" s="123" t="n">
        <v>2</v>
      </c>
      <c r="E123" s="123" t="n">
        <v>12</v>
      </c>
      <c r="F123" s="122" t="s">
        <v>602</v>
      </c>
      <c r="G123" s="124" t="s">
        <v>624</v>
      </c>
      <c r="H123" s="124" t="s">
        <v>321</v>
      </c>
      <c r="I123" s="125" t="n">
        <f aca="false">Inference!$B$7*Inference!$B$8/1000000*$D$123+Inference!$B$7*Inference!$B$9/1000000*$E$123</f>
        <v>3200</v>
      </c>
      <c r="J123" s="126" t="n">
        <f aca="false">IF($B$123=$A$45,$I$123,1000000000)</f>
        <v>3200</v>
      </c>
      <c r="K123" s="126" t="n">
        <f aca="false">IF($B$123=$A$46,$I$123,1000000000)</f>
        <v>1000000000</v>
      </c>
    </row>
    <row r="124" customFormat="false" ht="24" hidden="false" customHeight="true" outlineLevel="0" collapsed="false">
      <c r="A124" s="122" t="s">
        <v>625</v>
      </c>
      <c r="B124" s="122" t="s">
        <v>258</v>
      </c>
      <c r="C124" s="122" t="s">
        <v>616</v>
      </c>
      <c r="D124" s="123" t="n">
        <v>5</v>
      </c>
      <c r="E124" s="123" t="n">
        <v>25</v>
      </c>
      <c r="F124" s="122" t="s">
        <v>602</v>
      </c>
      <c r="G124" s="124" t="s">
        <v>626</v>
      </c>
      <c r="H124" s="124" t="s">
        <v>321</v>
      </c>
      <c r="I124" s="125" t="n">
        <f aca="false">Inference!$B$7*Inference!$B$8/1000000*$D$124+Inference!$B$7*Inference!$B$9/1000000*$E$124</f>
        <v>7000</v>
      </c>
      <c r="J124" s="126" t="n">
        <f aca="false">IF($B$124=$A$45,$I$124,1000000000)</f>
        <v>7000</v>
      </c>
      <c r="K124" s="126" t="n">
        <f aca="false">IF($B$124=$A$46,$I$124,1000000000)</f>
        <v>1000000000</v>
      </c>
    </row>
    <row r="125" customFormat="false" ht="24" hidden="false" customHeight="true" outlineLevel="0" collapsed="false">
      <c r="A125" s="122" t="s">
        <v>627</v>
      </c>
      <c r="B125" s="122" t="s">
        <v>259</v>
      </c>
      <c r="C125" s="122" t="s">
        <v>628</v>
      </c>
      <c r="D125" s="123" t="n">
        <v>0.2</v>
      </c>
      <c r="E125" s="123" t="n">
        <v>1.2</v>
      </c>
      <c r="F125" s="122" t="s">
        <v>629</v>
      </c>
      <c r="G125" s="124" t="s">
        <v>630</v>
      </c>
      <c r="H125" s="124" t="s">
        <v>631</v>
      </c>
      <c r="I125" s="125" t="n">
        <f aca="false">Inference!$B$7*Inference!$B$8/1000000*$D$125+Inference!$B$7*Inference!$B$9/1000000*$E$125</f>
        <v>320</v>
      </c>
      <c r="J125" s="126" t="n">
        <f aca="false">IF($B$125=$A$45,$I$125,1000000000)</f>
        <v>1000000000</v>
      </c>
      <c r="K125" s="126" t="n">
        <f aca="false">IF($B$125=$A$46,$I$125,1000000000)</f>
        <v>320</v>
      </c>
    </row>
    <row r="126" customFormat="false" ht="24" hidden="false" customHeight="true" outlineLevel="0" collapsed="false">
      <c r="A126" s="122" t="s">
        <v>632</v>
      </c>
      <c r="B126" s="122" t="s">
        <v>259</v>
      </c>
      <c r="C126" s="122" t="s">
        <v>628</v>
      </c>
      <c r="D126" s="123" t="n">
        <v>0.75</v>
      </c>
      <c r="E126" s="123" t="n">
        <v>4.5</v>
      </c>
      <c r="F126" s="122" t="s">
        <v>633</v>
      </c>
      <c r="G126" s="124" t="s">
        <v>634</v>
      </c>
      <c r="H126" s="124" t="s">
        <v>321</v>
      </c>
      <c r="I126" s="125" t="n">
        <f aca="false">Inference!$B$7*Inference!$B$8/1000000*$D$126+Inference!$B$7*Inference!$B$9/1000000*$E$126</f>
        <v>1200</v>
      </c>
      <c r="J126" s="126" t="n">
        <f aca="false">IF($B$126=$A$45,$I$126,1000000000)</f>
        <v>1000000000</v>
      </c>
      <c r="K126" s="126" t="n">
        <f aca="false">IF($B$126=$A$46,$I$126,1000000000)</f>
        <v>1200</v>
      </c>
    </row>
    <row r="127" customFormat="false" ht="24" hidden="false" customHeight="true" outlineLevel="0" collapsed="false">
      <c r="A127" s="122" t="s">
        <v>635</v>
      </c>
      <c r="B127" s="122" t="s">
        <v>259</v>
      </c>
      <c r="C127" s="122" t="s">
        <v>616</v>
      </c>
      <c r="D127" s="123" t="n">
        <v>1</v>
      </c>
      <c r="E127" s="123" t="n">
        <v>5</v>
      </c>
      <c r="F127" s="122" t="s">
        <v>617</v>
      </c>
      <c r="G127" s="124" t="s">
        <v>636</v>
      </c>
      <c r="H127" s="124" t="s">
        <v>321</v>
      </c>
      <c r="I127" s="125" t="n">
        <f aca="false">Inference!$B$7*Inference!$B$8/1000000*$D$127+Inference!$B$7*Inference!$B$9/1000000*$E$127</f>
        <v>1400</v>
      </c>
      <c r="J127" s="126" t="n">
        <f aca="false">IF($B$127=$A$45,$I$127,1000000000)</f>
        <v>1000000000</v>
      </c>
      <c r="K127" s="126" t="n">
        <f aca="false">IF($B$127=$A$46,$I$127,1000000000)</f>
        <v>1400</v>
      </c>
    </row>
    <row r="128" customFormat="false" ht="24" hidden="false" customHeight="true" outlineLevel="0" collapsed="false">
      <c r="A128" s="122" t="s">
        <v>637</v>
      </c>
      <c r="B128" s="122" t="s">
        <v>259</v>
      </c>
      <c r="C128" s="122" t="s">
        <v>628</v>
      </c>
      <c r="D128" s="123" t="n">
        <v>1.25</v>
      </c>
      <c r="E128" s="123" t="n">
        <v>10</v>
      </c>
      <c r="F128" s="122" t="s">
        <v>602</v>
      </c>
      <c r="G128" s="124" t="s">
        <v>638</v>
      </c>
      <c r="H128" s="124" t="s">
        <v>321</v>
      </c>
      <c r="I128" s="125" t="n">
        <f aca="false">Inference!$B$7*Inference!$B$8/1000000*$D$128+Inference!$B$7*Inference!$B$9/1000000*$E$128</f>
        <v>2500</v>
      </c>
      <c r="J128" s="126" t="n">
        <f aca="false">IF($B$128=$A$45,$I$128,1000000000)</f>
        <v>1000000000</v>
      </c>
      <c r="K128" s="126" t="n">
        <f aca="false">IF($B$128=$A$46,$I$128,1000000000)</f>
        <v>2500</v>
      </c>
    </row>
    <row r="129" customFormat="false" ht="24" hidden="false" customHeight="true" outlineLevel="0" collapsed="false">
      <c r="A129" s="122" t="s">
        <v>639</v>
      </c>
      <c r="B129" s="122" t="s">
        <v>259</v>
      </c>
      <c r="C129" s="122" t="s">
        <v>616</v>
      </c>
      <c r="D129" s="123" t="n">
        <v>2</v>
      </c>
      <c r="E129" s="123" t="n">
        <v>10</v>
      </c>
      <c r="F129" s="122" t="s">
        <v>602</v>
      </c>
      <c r="G129" s="124" t="s">
        <v>640</v>
      </c>
      <c r="H129" s="124" t="s">
        <v>321</v>
      </c>
      <c r="I129" s="125" t="n">
        <f aca="false">Inference!$B$7*Inference!$B$8/1000000*$D$129+Inference!$B$7*Inference!$B$9/1000000*$E$129</f>
        <v>2800</v>
      </c>
      <c r="J129" s="126" t="n">
        <f aca="false">IF($B$129=$A$45,$I$129,1000000000)</f>
        <v>1000000000</v>
      </c>
      <c r="K129" s="126" t="n">
        <f aca="false">IF($B$129=$A$46,$I$129,1000000000)</f>
        <v>2800</v>
      </c>
    </row>
    <row r="130" customFormat="false" ht="24" hidden="false" customHeight="true" outlineLevel="0" collapsed="false">
      <c r="A130" s="122" t="s">
        <v>641</v>
      </c>
      <c r="B130" s="122" t="s">
        <v>259</v>
      </c>
      <c r="C130" s="122" t="s">
        <v>628</v>
      </c>
      <c r="D130" s="123" t="n">
        <v>2</v>
      </c>
      <c r="E130" s="123" t="n">
        <v>12</v>
      </c>
      <c r="F130" s="122" t="s">
        <v>629</v>
      </c>
      <c r="G130" s="124" t="s">
        <v>642</v>
      </c>
      <c r="H130" s="124" t="s">
        <v>631</v>
      </c>
      <c r="I130" s="125" t="n">
        <f aca="false">Inference!$B$7*Inference!$B$8/1000000*$D$130+Inference!$B$7*Inference!$B$9/1000000*$E$130</f>
        <v>3200</v>
      </c>
      <c r="J130" s="126" t="n">
        <f aca="false">IF($B$130=$A$45,$I$130,1000000000)</f>
        <v>1000000000</v>
      </c>
      <c r="K130" s="126" t="n">
        <f aca="false">IF($B$130=$A$46,$I$130,1000000000)</f>
        <v>3200</v>
      </c>
    </row>
    <row r="131" customFormat="false" ht="24" hidden="false" customHeight="true" outlineLevel="0" collapsed="false">
      <c r="A131" s="122" t="s">
        <v>643</v>
      </c>
      <c r="B131" s="122" t="s">
        <v>259</v>
      </c>
      <c r="C131" s="122" t="s">
        <v>628</v>
      </c>
      <c r="D131" s="123" t="n">
        <v>2.5</v>
      </c>
      <c r="E131" s="123" t="n">
        <v>15</v>
      </c>
      <c r="F131" s="122" t="s">
        <v>633</v>
      </c>
      <c r="G131" s="124" t="s">
        <v>644</v>
      </c>
      <c r="H131" s="124" t="s">
        <v>321</v>
      </c>
      <c r="I131" s="125" t="n">
        <f aca="false">Inference!$B$7*Inference!$B$8/1000000*$D$131+Inference!$B$7*Inference!$B$9/1000000*$E$131</f>
        <v>4000</v>
      </c>
      <c r="J131" s="126" t="n">
        <f aca="false">IF($B$131=$A$45,$I$131,1000000000)</f>
        <v>1000000000</v>
      </c>
      <c r="K131" s="126" t="n">
        <f aca="false">IF($B$131=$A$46,$I$131,1000000000)</f>
        <v>4000</v>
      </c>
    </row>
    <row r="132" customFormat="false" ht="24" hidden="false" customHeight="true" outlineLevel="0" collapsed="false">
      <c r="A132" s="122" t="s">
        <v>645</v>
      </c>
      <c r="B132" s="122" t="s">
        <v>259</v>
      </c>
      <c r="C132" s="122" t="s">
        <v>616</v>
      </c>
      <c r="D132" s="123" t="n">
        <v>5</v>
      </c>
      <c r="E132" s="123" t="n">
        <v>25</v>
      </c>
      <c r="F132" s="122" t="s">
        <v>602</v>
      </c>
      <c r="G132" s="124" t="s">
        <v>646</v>
      </c>
      <c r="H132" s="124" t="s">
        <v>321</v>
      </c>
      <c r="I132" s="125" t="n">
        <f aca="false">Inference!$B$7*Inference!$B$8/1000000*$D$132+Inference!$B$7*Inference!$B$9/1000000*$E$132</f>
        <v>7000</v>
      </c>
      <c r="J132" s="126" t="n">
        <f aca="false">IF($B$132=$A$45,$I$132,1000000000)</f>
        <v>1000000000</v>
      </c>
      <c r="K132" s="126" t="n">
        <f aca="false">IF($B$132=$A$46,$I$132,1000000000)</f>
        <v>7000</v>
      </c>
    </row>
    <row r="133" customFormat="false" ht="24" hidden="false" customHeight="true" outlineLevel="0" collapsed="false">
      <c r="A133" s="122" t="s">
        <v>647</v>
      </c>
      <c r="B133" s="122" t="s">
        <v>259</v>
      </c>
      <c r="C133" s="122" t="s">
        <v>628</v>
      </c>
      <c r="D133" s="123" t="n">
        <v>5</v>
      </c>
      <c r="E133" s="123" t="n">
        <v>30</v>
      </c>
      <c r="F133" s="122" t="s">
        <v>629</v>
      </c>
      <c r="G133" s="124" t="s">
        <v>648</v>
      </c>
      <c r="H133" s="124" t="s">
        <v>321</v>
      </c>
      <c r="I133" s="125" t="n">
        <f aca="false">Inference!$B$7*Inference!$B$8/1000000*$D$133+Inference!$B$7*Inference!$B$9/1000000*$E$133</f>
        <v>8000</v>
      </c>
      <c r="J133" s="126" t="n">
        <f aca="false">IF($B$133=$A$45,$I$133,1000000000)</f>
        <v>1000000000</v>
      </c>
      <c r="K133" s="126" t="n">
        <f aca="false">IF($B$133=$A$46,$I$133,1000000000)</f>
        <v>8000</v>
      </c>
    </row>
    <row r="134" customFormat="false" ht="24" hidden="false" customHeight="true" outlineLevel="0" collapsed="false">
      <c r="A134" s="122" t="s">
        <v>649</v>
      </c>
      <c r="B134" s="122" t="s">
        <v>259</v>
      </c>
      <c r="C134" s="122" t="s">
        <v>628</v>
      </c>
      <c r="D134" s="123" t="n">
        <v>5</v>
      </c>
      <c r="E134" s="123" t="n">
        <v>30</v>
      </c>
      <c r="F134" s="122" t="s">
        <v>602</v>
      </c>
      <c r="G134" s="124" t="s">
        <v>650</v>
      </c>
      <c r="H134" s="124" t="s">
        <v>321</v>
      </c>
      <c r="I134" s="125" t="n">
        <f aca="false">Inference!$B$7*Inference!$B$8/1000000*$D$134+Inference!$B$7*Inference!$B$9/1000000*$E$134</f>
        <v>8000</v>
      </c>
      <c r="J134" s="126" t="n">
        <f aca="false">IF($B$134=$A$45,$I$134,1000000000)</f>
        <v>1000000000</v>
      </c>
      <c r="K134" s="126" t="n">
        <f aca="false">IF($B$134=$A$46,$I$134,1000000000)</f>
        <v>8000</v>
      </c>
    </row>
    <row r="136" customFormat="false" ht="15" hidden="false" customHeight="true" outlineLevel="0" collapsed="false">
      <c r="A136" s="127" t="s">
        <v>651</v>
      </c>
      <c r="B136" s="127"/>
      <c r="C136" s="127"/>
      <c r="D136" s="127"/>
      <c r="E136" s="127"/>
      <c r="F136" s="127"/>
      <c r="G136" s="127"/>
      <c r="H136" s="127"/>
    </row>
    <row r="137" customFormat="false" ht="15" hidden="false" customHeight="true" outlineLevel="0" collapsed="false">
      <c r="A137" s="127"/>
      <c r="B137" s="127"/>
      <c r="C137" s="127"/>
      <c r="D137" s="127"/>
      <c r="E137" s="127"/>
      <c r="F137" s="127"/>
      <c r="G137" s="127"/>
      <c r="H137" s="127"/>
    </row>
    <row r="139" customFormat="false" ht="15" hidden="false" customHeight="true" outlineLevel="0" collapsed="false">
      <c r="A139" s="34" t="s">
        <v>652</v>
      </c>
      <c r="B139" s="34"/>
      <c r="C139" s="34"/>
      <c r="D139" s="34"/>
      <c r="E139" s="34"/>
      <c r="F139" s="34"/>
      <c r="G139" s="34"/>
      <c r="H139" s="34"/>
    </row>
    <row r="140" customFormat="false" ht="15" hidden="false" customHeight="true" outlineLevel="0" collapsed="false">
      <c r="A140" s="34"/>
      <c r="B140" s="34"/>
      <c r="C140" s="34"/>
      <c r="D140" s="34"/>
      <c r="E140" s="34"/>
      <c r="F140" s="34"/>
      <c r="G140" s="34"/>
      <c r="H140" s="34"/>
    </row>
  </sheetData>
  <mergeCells count="2">
    <mergeCell ref="A136:H137"/>
    <mergeCell ref="A139:H1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2"/>
  </cols>
  <sheetData>
    <row r="1" customFormat="false" ht="19.5" hidden="false" customHeight="true" outlineLevel="0" collapsed="false">
      <c r="A1" s="24" t="s">
        <v>653</v>
      </c>
    </row>
    <row r="3" customFormat="false" ht="15" hidden="false" customHeight="true" outlineLevel="0" collapsed="false">
      <c r="A3" s="128" t="s">
        <v>654</v>
      </c>
    </row>
    <row r="4" customFormat="false" ht="45" hidden="false" customHeight="true" outlineLevel="0" collapsed="false">
      <c r="A4" s="117" t="s">
        <v>655</v>
      </c>
    </row>
    <row r="6" customFormat="false" ht="15" hidden="false" customHeight="true" outlineLevel="0" collapsed="false">
      <c r="A6" s="128" t="s">
        <v>656</v>
      </c>
    </row>
    <row r="7" customFormat="false" ht="30" hidden="false" customHeight="true" outlineLevel="0" collapsed="false">
      <c r="A7" s="117" t="s">
        <v>657</v>
      </c>
    </row>
    <row r="8" customFormat="false" ht="15" hidden="false" customHeight="true" outlineLevel="0" collapsed="false">
      <c r="A8" s="117" t="s">
        <v>658</v>
      </c>
    </row>
    <row r="10" customFormat="false" ht="15" hidden="false" customHeight="true" outlineLevel="0" collapsed="false">
      <c r="A10" s="128" t="s">
        <v>659</v>
      </c>
    </row>
    <row r="11" customFormat="false" ht="30" hidden="false" customHeight="true" outlineLevel="0" collapsed="false">
      <c r="A11" s="117" t="s">
        <v>660</v>
      </c>
    </row>
    <row r="12" customFormat="false" ht="30" hidden="false" customHeight="true" outlineLevel="0" collapsed="false">
      <c r="A12" s="117" t="s">
        <v>661</v>
      </c>
    </row>
    <row r="13" customFormat="false" ht="30" hidden="false" customHeight="true" outlineLevel="0" collapsed="false">
      <c r="A13" s="117" t="s">
        <v>662</v>
      </c>
    </row>
    <row r="14" customFormat="false" ht="15" hidden="false" customHeight="true" outlineLevel="0" collapsed="false">
      <c r="A14" s="117" t="s">
        <v>663</v>
      </c>
    </row>
    <row r="15" customFormat="false" ht="15" hidden="false" customHeight="true" outlineLevel="0" collapsed="false">
      <c r="A15" s="117" t="s">
        <v>664</v>
      </c>
    </row>
    <row r="17" customFormat="false" ht="15" hidden="false" customHeight="true" outlineLevel="0" collapsed="false">
      <c r="A17" s="128" t="s">
        <v>665</v>
      </c>
    </row>
    <row r="18" customFormat="false" ht="30" hidden="false" customHeight="true" outlineLevel="0" collapsed="false">
      <c r="A18" s="117" t="s">
        <v>666</v>
      </c>
    </row>
    <row r="19" customFormat="false" ht="30" hidden="false" customHeight="true" outlineLevel="0" collapsed="false">
      <c r="A19" s="117" t="s">
        <v>667</v>
      </c>
    </row>
    <row r="21" customFormat="false" ht="15" hidden="false" customHeight="true" outlineLevel="0" collapsed="false">
      <c r="A21" s="128" t="s">
        <v>668</v>
      </c>
    </row>
    <row r="22" customFormat="false" ht="60" hidden="false" customHeight="true" outlineLevel="0" collapsed="false">
      <c r="A22" s="117" t="s">
        <v>669</v>
      </c>
    </row>
    <row r="23" customFormat="false" ht="45" hidden="false" customHeight="true" outlineLevel="0" collapsed="false">
      <c r="A23" s="117" t="s">
        <v>670</v>
      </c>
    </row>
    <row r="24" customFormat="false" ht="30" hidden="false" customHeight="true" outlineLevel="0" collapsed="false">
      <c r="A24" s="117" t="s">
        <v>671</v>
      </c>
    </row>
    <row r="26" customFormat="false" ht="15" hidden="false" customHeight="true" outlineLevel="0" collapsed="false">
      <c r="A26" s="128" t="s">
        <v>672</v>
      </c>
    </row>
    <row r="27" customFormat="false" ht="15" hidden="false" customHeight="true" outlineLevel="0" collapsed="false">
      <c r="A27" s="117" t="s">
        <v>673</v>
      </c>
    </row>
    <row r="28" customFormat="false" ht="15" hidden="false" customHeight="true" outlineLevel="0" collapsed="false">
      <c r="A28" s="117" t="s">
        <v>674</v>
      </c>
    </row>
    <row r="29" customFormat="false" ht="30" hidden="false" customHeight="true" outlineLevel="0" collapsed="false">
      <c r="A29" s="117" t="s">
        <v>675</v>
      </c>
    </row>
    <row r="30" customFormat="false" ht="15" hidden="false" customHeight="true" outlineLevel="0" collapsed="false">
      <c r="A30" s="117" t="s">
        <v>676</v>
      </c>
    </row>
    <row r="31" customFormat="false" ht="30" hidden="false" customHeight="true" outlineLevel="0" collapsed="false">
      <c r="A31" s="117" t="s">
        <v>677</v>
      </c>
    </row>
    <row r="32" customFormat="false" ht="15" hidden="false" customHeight="true" outlineLevel="0" collapsed="false">
      <c r="A32" s="117" t="s">
        <v>678</v>
      </c>
    </row>
    <row r="33" customFormat="false" ht="15" hidden="false" customHeight="true" outlineLevel="0" collapsed="false">
      <c r="A33" s="117"/>
    </row>
    <row r="34" customFormat="false" ht="15" hidden="false" customHeight="true" outlineLevel="0" collapsed="false">
      <c r="A34" s="117" t="s">
        <v>679</v>
      </c>
    </row>
    <row r="35" customFormat="false" ht="30" hidden="false" customHeight="true" outlineLevel="0" collapsed="false">
      <c r="A35" s="117" t="s">
        <v>680</v>
      </c>
    </row>
    <row r="36" customFormat="false" ht="15" hidden="false" customHeight="true" outlineLevel="0" collapsed="false">
      <c r="A36" s="117" t="s">
        <v>681</v>
      </c>
    </row>
    <row r="38" customFormat="false" ht="15" hidden="false" customHeight="true" outlineLevel="0" collapsed="false">
      <c r="A38" s="128" t="s">
        <v>682</v>
      </c>
    </row>
    <row r="39" customFormat="false" ht="45" hidden="false" customHeight="true" outlineLevel="0" collapsed="false">
      <c r="A39" s="117" t="s">
        <v>683</v>
      </c>
    </row>
    <row r="40" customFormat="false" ht="45" hidden="false" customHeight="true" outlineLevel="0" collapsed="false">
      <c r="A40" s="117" t="s">
        <v>684</v>
      </c>
    </row>
    <row r="42" customFormat="false" ht="15" hidden="false" customHeight="true" outlineLevel="0" collapsed="false">
      <c r="A42" s="128" t="s">
        <v>685</v>
      </c>
    </row>
    <row r="43" customFormat="false" ht="60" hidden="false" customHeight="true" outlineLevel="0" collapsed="false">
      <c r="A43" s="117" t="s">
        <v>686</v>
      </c>
    </row>
    <row r="45" customFormat="false" ht="15" hidden="false" customHeight="true" outlineLevel="0" collapsed="false">
      <c r="A45" s="128" t="s">
        <v>687</v>
      </c>
    </row>
    <row r="46" customFormat="false" ht="30" hidden="false" customHeight="true" outlineLevel="0" collapsed="false">
      <c r="A46" s="117" t="s">
        <v>688</v>
      </c>
    </row>
    <row r="47" customFormat="false" ht="15" hidden="false" customHeight="true" outlineLevel="0" collapsed="false">
      <c r="A47" s="117" t="s">
        <v>689</v>
      </c>
    </row>
    <row r="48" customFormat="false" ht="30" hidden="false" customHeight="true" outlineLevel="0" collapsed="false">
      <c r="A48" s="117" t="s">
        <v>690</v>
      </c>
    </row>
    <row r="49" customFormat="false" ht="30" hidden="false" customHeight="true" outlineLevel="0" collapsed="false">
      <c r="A49" s="117" t="s">
        <v>691</v>
      </c>
    </row>
    <row r="50" customFormat="false" ht="30" hidden="false" customHeight="true" outlineLevel="0" collapsed="false">
      <c r="A50" s="117" t="s">
        <v>692</v>
      </c>
    </row>
    <row r="52" customFormat="false" ht="15" hidden="false" customHeight="true" outlineLevel="0" collapsed="false">
      <c r="A52" s="128" t="s">
        <v>693</v>
      </c>
    </row>
    <row r="53" customFormat="false" ht="60" hidden="false" customHeight="true" outlineLevel="0" collapsed="false">
      <c r="A53" s="117" t="s">
        <v>694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52"/>
    <col collapsed="false" customWidth="true" hidden="false" outlineLevel="0" max="3" min="3" style="1" width="13"/>
    <col collapsed="false" customWidth="true" hidden="false" outlineLevel="0" max="4" min="4" style="1" width="52"/>
  </cols>
  <sheetData>
    <row r="1" customFormat="false" ht="17.25" hidden="false" customHeight="true" outlineLevel="0" collapsed="false">
      <c r="A1" s="77" t="s">
        <v>695</v>
      </c>
    </row>
    <row r="2" customFormat="false" ht="15" hidden="false" customHeight="true" outlineLevel="0" collapsed="false">
      <c r="A2" s="47" t="s">
        <v>696</v>
      </c>
    </row>
    <row r="4" customFormat="false" ht="15" hidden="false" customHeight="true" outlineLevel="0" collapsed="false">
      <c r="A4" s="78" t="s">
        <v>697</v>
      </c>
      <c r="B4" s="78" t="s">
        <v>303</v>
      </c>
      <c r="C4" s="78" t="s">
        <v>698</v>
      </c>
      <c r="D4" s="78" t="s">
        <v>463</v>
      </c>
    </row>
    <row r="5" customFormat="false" ht="33.75" hidden="false" customHeight="true" outlineLevel="0" collapsed="false">
      <c r="A5" s="129" t="s">
        <v>699</v>
      </c>
      <c r="B5" s="129" t="s">
        <v>700</v>
      </c>
      <c r="C5" s="129" t="s">
        <v>701</v>
      </c>
      <c r="D5" s="129" t="s">
        <v>702</v>
      </c>
    </row>
    <row r="6" customFormat="false" ht="33.75" hidden="false" customHeight="true" outlineLevel="0" collapsed="false">
      <c r="A6" s="130" t="s">
        <v>703</v>
      </c>
      <c r="B6" s="130" t="s">
        <v>704</v>
      </c>
      <c r="C6" s="130" t="s">
        <v>701</v>
      </c>
      <c r="D6" s="130" t="s">
        <v>705</v>
      </c>
    </row>
    <row r="7" customFormat="false" ht="33.75" hidden="false" customHeight="true" outlineLevel="0" collapsed="false">
      <c r="A7" s="129" t="s">
        <v>706</v>
      </c>
      <c r="B7" s="129" t="s">
        <v>707</v>
      </c>
      <c r="C7" s="129" t="s">
        <v>701</v>
      </c>
      <c r="D7" s="129" t="s">
        <v>708</v>
      </c>
    </row>
    <row r="8" customFormat="false" ht="33.75" hidden="false" customHeight="true" outlineLevel="0" collapsed="false">
      <c r="A8" s="130" t="s">
        <v>709</v>
      </c>
      <c r="B8" s="130" t="s">
        <v>710</v>
      </c>
      <c r="C8" s="130" t="s">
        <v>701</v>
      </c>
      <c r="D8" s="130" t="s">
        <v>711</v>
      </c>
    </row>
    <row r="9" customFormat="false" ht="33.75" hidden="false" customHeight="true" outlineLevel="0" collapsed="false">
      <c r="A9" s="129" t="s">
        <v>712</v>
      </c>
      <c r="B9" s="129" t="s">
        <v>713</v>
      </c>
      <c r="C9" s="129" t="s">
        <v>714</v>
      </c>
      <c r="D9" s="129" t="s">
        <v>715</v>
      </c>
    </row>
    <row r="10" customFormat="false" ht="33.75" hidden="false" customHeight="true" outlineLevel="0" collapsed="false">
      <c r="A10" s="130" t="s">
        <v>716</v>
      </c>
      <c r="B10" s="130" t="s">
        <v>717</v>
      </c>
      <c r="C10" s="130" t="s">
        <v>718</v>
      </c>
      <c r="D10" s="130" t="s">
        <v>719</v>
      </c>
    </row>
    <row r="11" customFormat="false" ht="33.75" hidden="false" customHeight="true" outlineLevel="0" collapsed="false">
      <c r="A11" s="129" t="s">
        <v>720</v>
      </c>
      <c r="B11" s="129" t="s">
        <v>721</v>
      </c>
      <c r="C11" s="129" t="s">
        <v>701</v>
      </c>
      <c r="D11" s="129" t="s">
        <v>722</v>
      </c>
    </row>
    <row r="12" customFormat="false" ht="33.75" hidden="false" customHeight="true" outlineLevel="0" collapsed="false">
      <c r="A12" s="130" t="s">
        <v>723</v>
      </c>
      <c r="B12" s="130" t="s">
        <v>724</v>
      </c>
      <c r="C12" s="130" t="s">
        <v>725</v>
      </c>
      <c r="D12" s="130" t="s">
        <v>726</v>
      </c>
    </row>
    <row r="13" customFormat="false" ht="33.75" hidden="false" customHeight="true" outlineLevel="0" collapsed="false">
      <c r="A13" s="129" t="s">
        <v>727</v>
      </c>
      <c r="B13" s="129" t="s">
        <v>728</v>
      </c>
      <c r="C13" s="129" t="s">
        <v>729</v>
      </c>
      <c r="D13" s="129" t="s">
        <v>730</v>
      </c>
    </row>
    <row r="14" customFormat="false" ht="33.75" hidden="false" customHeight="true" outlineLevel="0" collapsed="false">
      <c r="A14" s="130" t="s">
        <v>731</v>
      </c>
      <c r="B14" s="130" t="s">
        <v>732</v>
      </c>
      <c r="C14" s="130" t="s">
        <v>733</v>
      </c>
      <c r="D14" s="130" t="s">
        <v>734</v>
      </c>
    </row>
    <row r="15" customFormat="false" ht="33.75" hidden="false" customHeight="true" outlineLevel="0" collapsed="false">
      <c r="A15" s="129" t="s">
        <v>735</v>
      </c>
      <c r="B15" s="129" t="s">
        <v>736</v>
      </c>
      <c r="C15" s="129" t="s">
        <v>714</v>
      </c>
      <c r="D15" s="129" t="s">
        <v>737</v>
      </c>
    </row>
    <row r="16" customFormat="false" ht="33.75" hidden="false" customHeight="true" outlineLevel="0" collapsed="false">
      <c r="A16" s="130" t="s">
        <v>738</v>
      </c>
      <c r="B16" s="130" t="s">
        <v>739</v>
      </c>
      <c r="C16" s="130" t="s">
        <v>701</v>
      </c>
      <c r="D16" s="130" t="s">
        <v>740</v>
      </c>
    </row>
    <row r="17" customFormat="false" ht="33.75" hidden="false" customHeight="true" outlineLevel="0" collapsed="false">
      <c r="A17" s="129" t="s">
        <v>741</v>
      </c>
      <c r="B17" s="129" t="s">
        <v>742</v>
      </c>
      <c r="C17" s="129" t="s">
        <v>743</v>
      </c>
      <c r="D17" s="129" t="s">
        <v>744</v>
      </c>
    </row>
    <row r="18" customFormat="false" ht="33.75" hidden="false" customHeight="true" outlineLevel="0" collapsed="false">
      <c r="A18" s="130" t="s">
        <v>745</v>
      </c>
      <c r="B18" s="130" t="s">
        <v>746</v>
      </c>
      <c r="C18" s="130" t="s">
        <v>701</v>
      </c>
      <c r="D18" s="130" t="s">
        <v>747</v>
      </c>
    </row>
    <row r="19" customFormat="false" ht="33.75" hidden="false" customHeight="true" outlineLevel="0" collapsed="false">
      <c r="A19" s="129" t="s">
        <v>748</v>
      </c>
      <c r="B19" s="129" t="s">
        <v>749</v>
      </c>
      <c r="C19" s="129" t="s">
        <v>701</v>
      </c>
      <c r="D19" s="129" t="s">
        <v>750</v>
      </c>
    </row>
    <row r="20" customFormat="false" ht="33.75" hidden="false" customHeight="true" outlineLevel="0" collapsed="false">
      <c r="A20" s="130" t="s">
        <v>751</v>
      </c>
      <c r="B20" s="130" t="s">
        <v>752</v>
      </c>
      <c r="C20" s="130" t="s">
        <v>701</v>
      </c>
      <c r="D20" s="130" t="s">
        <v>753</v>
      </c>
    </row>
    <row r="21" customFormat="false" ht="33.75" hidden="false" customHeight="true" outlineLevel="0" collapsed="false">
      <c r="A21" s="129" t="s">
        <v>754</v>
      </c>
      <c r="B21" s="129" t="s">
        <v>755</v>
      </c>
      <c r="C21" s="129" t="s">
        <v>701</v>
      </c>
      <c r="D21" s="129" t="s">
        <v>756</v>
      </c>
    </row>
    <row r="22" customFormat="false" ht="33.75" hidden="false" customHeight="true" outlineLevel="0" collapsed="false">
      <c r="A22" s="130" t="s">
        <v>757</v>
      </c>
      <c r="B22" s="130" t="s">
        <v>758</v>
      </c>
      <c r="C22" s="130" t="s">
        <v>743</v>
      </c>
      <c r="D22" s="130" t="s">
        <v>759</v>
      </c>
    </row>
    <row r="25" customFormat="false" ht="15" hidden="false" customHeight="true" outlineLevel="0" collapsed="false">
      <c r="A25" s="131" t="s">
        <v>760</v>
      </c>
    </row>
    <row r="26" customFormat="false" ht="25.5" hidden="false" customHeight="true" outlineLevel="0" collapsed="false">
      <c r="A26" s="132" t="s">
        <v>761</v>
      </c>
      <c r="B26" s="132"/>
      <c r="C26" s="132"/>
      <c r="D26" s="132"/>
    </row>
    <row r="27" customFormat="false" ht="25.5" hidden="false" customHeight="true" outlineLevel="0" collapsed="false">
      <c r="A27" s="132" t="s">
        <v>762</v>
      </c>
      <c r="B27" s="132"/>
      <c r="C27" s="132"/>
      <c r="D27" s="132"/>
    </row>
    <row r="28" customFormat="false" ht="25.5" hidden="false" customHeight="true" outlineLevel="0" collapsed="false">
      <c r="A28" s="132" t="s">
        <v>763</v>
      </c>
      <c r="B28" s="132"/>
      <c r="C28" s="132"/>
      <c r="D28" s="132"/>
    </row>
    <row r="29" customFormat="false" ht="25.5" hidden="false" customHeight="true" outlineLevel="0" collapsed="false">
      <c r="A29" s="132" t="s">
        <v>764</v>
      </c>
      <c r="B29" s="132"/>
      <c r="C29" s="132"/>
      <c r="D29" s="132"/>
    </row>
    <row r="30" customFormat="false" ht="25.5" hidden="false" customHeight="true" outlineLevel="0" collapsed="false">
      <c r="A30" s="132" t="s">
        <v>765</v>
      </c>
      <c r="B30" s="132"/>
      <c r="C30" s="132"/>
      <c r="D30" s="132"/>
    </row>
    <row r="31" customFormat="false" ht="25.5" hidden="false" customHeight="true" outlineLevel="0" collapsed="false">
      <c r="A31" s="132" t="s">
        <v>766</v>
      </c>
      <c r="B31" s="132"/>
      <c r="C31" s="132"/>
      <c r="D31" s="132"/>
    </row>
    <row r="32" customFormat="false" ht="25.5" hidden="false" customHeight="true" outlineLevel="0" collapsed="false">
      <c r="A32" s="132" t="s">
        <v>767</v>
      </c>
      <c r="B32" s="132"/>
      <c r="C32" s="132"/>
      <c r="D32" s="132"/>
    </row>
    <row r="33" customFormat="false" ht="25.5" hidden="false" customHeight="true" outlineLevel="0" collapsed="false">
      <c r="A33" s="132" t="s">
        <v>768</v>
      </c>
      <c r="B33" s="132"/>
      <c r="C33" s="132"/>
      <c r="D33" s="132"/>
    </row>
    <row r="34" customFormat="false" ht="25.5" hidden="false" customHeight="true" outlineLevel="0" collapsed="false">
      <c r="A34" s="132" t="s">
        <v>769</v>
      </c>
      <c r="B34" s="132"/>
      <c r="C34" s="132"/>
      <c r="D34" s="132"/>
    </row>
  </sheetData>
  <mergeCells count="9">
    <mergeCell ref="A26:D26"/>
    <mergeCell ref="A27:D27"/>
    <mergeCell ref="A28:D28"/>
    <mergeCell ref="A29:D29"/>
    <mergeCell ref="A30:D30"/>
    <mergeCell ref="A31:D31"/>
    <mergeCell ref="A32:D32"/>
    <mergeCell ref="A33:D33"/>
    <mergeCell ref="A34:D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2026-08-17T18:22:02Z</dcterms:created>
  <dc:creator>openpyxl</dc:creator>
  <dc:description/>
  <dc:language>en-US</dc:language>
  <cp:lastModifiedBy/>
  <dcterms:modified xsi:type="dcterms:W3CDTF">2026-09-02T15:17:08Z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